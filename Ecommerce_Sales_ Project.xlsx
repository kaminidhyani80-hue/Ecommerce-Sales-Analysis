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91987\Downloads\"/>
    </mc:Choice>
  </mc:AlternateContent>
  <xr:revisionPtr revIDLastSave="0" documentId="13_ncr:1_{457D5FB4-E3DC-4F2E-BACF-7D5252FDCA2A}" xr6:coauthVersionLast="47" xr6:coauthVersionMax="47" xr10:uidLastSave="{00000000-0000-0000-0000-000000000000}"/>
  <bookViews>
    <workbookView xWindow="-109" yWindow="-109" windowWidth="18775" windowHeight="9931" activeTab="5" xr2:uid="{00000000-000D-0000-FFFF-FFFF00000000}"/>
  </bookViews>
  <sheets>
    <sheet name="pvt tables &amp; KPIs" sheetId="51" r:id="rId1"/>
    <sheet name="Dashboard" sheetId="50" r:id="rId2"/>
    <sheet name="5.2" sheetId="27" r:id="rId3"/>
    <sheet name="Sheet3" sheetId="47" r:id="rId4"/>
    <sheet name="Sheet7" sheetId="52" r:id="rId5"/>
    <sheet name="Orders" sheetId="3" r:id="rId6"/>
    <sheet name="Product Master" sheetId="4" r:id="rId7"/>
    <sheet name="Region Master" sheetId="5" r:id="rId8"/>
    <sheet name="Customer Master" sheetId="6" r:id="rId9"/>
  </sheets>
  <definedNames>
    <definedName name="Slicer_Delivery_Status1">#N/A</definedName>
    <definedName name="Slicer_Payment_Method1">#N/A</definedName>
    <definedName name="Slicer_Regi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01" i="3" l="1"/>
  <c r="R101" i="3"/>
  <c r="R101" i="3" a="1"/>
  <c r="Q101" i="3"/>
  <c r="P101" i="3"/>
  <c r="O101" i="3"/>
  <c r="N101" i="3"/>
  <c r="S100" i="3"/>
  <c r="R100" i="3"/>
  <c r="R100" i="3" a="1"/>
  <c r="Q100" i="3"/>
  <c r="P100" i="3"/>
  <c r="O100" i="3"/>
  <c r="N100" i="3"/>
  <c r="S99" i="3"/>
  <c r="R99" i="3"/>
  <c r="R99" i="3" a="1"/>
  <c r="Q99" i="3"/>
  <c r="P99" i="3"/>
  <c r="O99" i="3"/>
  <c r="N99" i="3"/>
  <c r="S98" i="3"/>
  <c r="R98" i="3"/>
  <c r="R98" i="3" a="1"/>
  <c r="Q98" i="3"/>
  <c r="P98" i="3"/>
  <c r="O98" i="3"/>
  <c r="N98" i="3"/>
  <c r="S97" i="3"/>
  <c r="R97" i="3"/>
  <c r="R97" i="3" a="1"/>
  <c r="Q97" i="3"/>
  <c r="P97" i="3"/>
  <c r="O97" i="3"/>
  <c r="N97" i="3"/>
  <c r="S96" i="3"/>
  <c r="R96" i="3"/>
  <c r="R96" i="3" a="1"/>
  <c r="Q96" i="3"/>
  <c r="P96" i="3"/>
  <c r="O96" i="3"/>
  <c r="N96" i="3"/>
  <c r="S95" i="3"/>
  <c r="R95" i="3"/>
  <c r="R95" i="3" a="1"/>
  <c r="Q95" i="3"/>
  <c r="P95" i="3"/>
  <c r="O95" i="3"/>
  <c r="N95" i="3"/>
  <c r="S94" i="3"/>
  <c r="R94" i="3"/>
  <c r="R94" i="3" a="1"/>
  <c r="Q94" i="3"/>
  <c r="P94" i="3"/>
  <c r="O94" i="3"/>
  <c r="N94" i="3"/>
  <c r="S93" i="3"/>
  <c r="R93" i="3"/>
  <c r="R93" i="3" a="1"/>
  <c r="Q93" i="3"/>
  <c r="P93" i="3"/>
  <c r="O93" i="3"/>
  <c r="N93" i="3"/>
  <c r="S92" i="3"/>
  <c r="R92" i="3"/>
  <c r="R92" i="3" a="1"/>
  <c r="Q92" i="3"/>
  <c r="P92" i="3"/>
  <c r="O92" i="3"/>
  <c r="N92" i="3"/>
  <c r="S91" i="3"/>
  <c r="R91" i="3"/>
  <c r="R91" i="3" a="1"/>
  <c r="Q91" i="3"/>
  <c r="P91" i="3"/>
  <c r="O91" i="3"/>
  <c r="N91" i="3"/>
  <c r="S90" i="3"/>
  <c r="R90" i="3"/>
  <c r="R90" i="3" a="1"/>
  <c r="Q90" i="3"/>
  <c r="P90" i="3"/>
  <c r="O90" i="3"/>
  <c r="N90" i="3"/>
  <c r="S89" i="3"/>
  <c r="R89" i="3"/>
  <c r="R89" i="3" a="1"/>
  <c r="Q89" i="3"/>
  <c r="P89" i="3"/>
  <c r="O89" i="3"/>
  <c r="N89" i="3"/>
  <c r="S88" i="3"/>
  <c r="R88" i="3"/>
  <c r="R88" i="3" a="1"/>
  <c r="Q88" i="3"/>
  <c r="P88" i="3"/>
  <c r="O88" i="3"/>
  <c r="N88" i="3"/>
  <c r="S87" i="3"/>
  <c r="R87" i="3"/>
  <c r="R87" i="3" a="1"/>
  <c r="Q87" i="3"/>
  <c r="P87" i="3"/>
  <c r="O87" i="3"/>
  <c r="N87" i="3"/>
  <c r="S86" i="3"/>
  <c r="R86" i="3"/>
  <c r="R86" i="3" a="1"/>
  <c r="Q86" i="3"/>
  <c r="P86" i="3"/>
  <c r="O86" i="3"/>
  <c r="N86" i="3"/>
  <c r="S85" i="3"/>
  <c r="R85" i="3"/>
  <c r="R85" i="3" a="1"/>
  <c r="Q85" i="3"/>
  <c r="P85" i="3"/>
  <c r="O85" i="3"/>
  <c r="N85" i="3"/>
  <c r="S84" i="3"/>
  <c r="R84" i="3"/>
  <c r="R84" i="3" a="1"/>
  <c r="Q84" i="3"/>
  <c r="P84" i="3"/>
  <c r="O84" i="3"/>
  <c r="N84" i="3"/>
  <c r="S83" i="3"/>
  <c r="R83" i="3"/>
  <c r="R83" i="3" a="1"/>
  <c r="Q83" i="3"/>
  <c r="P83" i="3"/>
  <c r="O83" i="3"/>
  <c r="N83" i="3"/>
  <c r="S82" i="3"/>
  <c r="R82" i="3"/>
  <c r="R82" i="3" a="1"/>
  <c r="Q82" i="3"/>
  <c r="P82" i="3"/>
  <c r="O82" i="3"/>
  <c r="N82" i="3"/>
  <c r="S81" i="3"/>
  <c r="R81" i="3"/>
  <c r="R81" i="3" a="1"/>
  <c r="Q81" i="3"/>
  <c r="P81" i="3"/>
  <c r="O81" i="3"/>
  <c r="N81" i="3"/>
  <c r="S80" i="3"/>
  <c r="R80" i="3"/>
  <c r="R80" i="3" a="1"/>
  <c r="Q80" i="3"/>
  <c r="P80" i="3"/>
  <c r="O80" i="3"/>
  <c r="N80" i="3"/>
  <c r="S79" i="3"/>
  <c r="R79" i="3"/>
  <c r="R79" i="3" a="1"/>
  <c r="Q79" i="3"/>
  <c r="P79" i="3"/>
  <c r="O79" i="3"/>
  <c r="N79" i="3"/>
  <c r="S78" i="3"/>
  <c r="R78" i="3"/>
  <c r="R78" i="3" a="1"/>
  <c r="Q78" i="3"/>
  <c r="P78" i="3"/>
  <c r="O78" i="3"/>
  <c r="N78" i="3"/>
  <c r="S77" i="3"/>
  <c r="R77" i="3"/>
  <c r="R77" i="3" a="1"/>
  <c r="Q77" i="3"/>
  <c r="P77" i="3"/>
  <c r="O77" i="3"/>
  <c r="N77" i="3"/>
  <c r="S76" i="3"/>
  <c r="R76" i="3"/>
  <c r="R76" i="3" a="1"/>
  <c r="Q76" i="3"/>
  <c r="P76" i="3"/>
  <c r="O76" i="3"/>
  <c r="N76" i="3"/>
  <c r="S75" i="3"/>
  <c r="R75" i="3"/>
  <c r="R75" i="3" a="1"/>
  <c r="Q75" i="3"/>
  <c r="P75" i="3"/>
  <c r="O75" i="3"/>
  <c r="N75" i="3"/>
  <c r="S74" i="3"/>
  <c r="R74" i="3"/>
  <c r="R74" i="3" a="1"/>
  <c r="Q74" i="3"/>
  <c r="P74" i="3"/>
  <c r="O74" i="3"/>
  <c r="N74" i="3"/>
  <c r="S73" i="3"/>
  <c r="R73" i="3"/>
  <c r="R73" i="3" a="1"/>
  <c r="Q73" i="3"/>
  <c r="P73" i="3"/>
  <c r="O73" i="3"/>
  <c r="N73" i="3"/>
  <c r="S72" i="3"/>
  <c r="R72" i="3"/>
  <c r="R72" i="3" a="1"/>
  <c r="Q72" i="3"/>
  <c r="P72" i="3"/>
  <c r="O72" i="3"/>
  <c r="N72" i="3"/>
  <c r="S71" i="3"/>
  <c r="R71" i="3"/>
  <c r="R71" i="3" a="1"/>
  <c r="Q71" i="3"/>
  <c r="P71" i="3"/>
  <c r="O71" i="3"/>
  <c r="N71" i="3"/>
  <c r="S70" i="3"/>
  <c r="R70" i="3"/>
  <c r="R70" i="3" a="1"/>
  <c r="Q70" i="3"/>
  <c r="P70" i="3"/>
  <c r="O70" i="3"/>
  <c r="N70" i="3"/>
  <c r="S69" i="3"/>
  <c r="R69" i="3"/>
  <c r="R69" i="3" a="1"/>
  <c r="Q69" i="3"/>
  <c r="P69" i="3"/>
  <c r="O69" i="3"/>
  <c r="N69" i="3"/>
  <c r="S68" i="3"/>
  <c r="R68" i="3"/>
  <c r="R68" i="3" a="1"/>
  <c r="Q68" i="3"/>
  <c r="P68" i="3"/>
  <c r="O68" i="3"/>
  <c r="N68" i="3"/>
  <c r="S67" i="3"/>
  <c r="R67" i="3"/>
  <c r="R67" i="3" a="1"/>
  <c r="Q67" i="3"/>
  <c r="P67" i="3"/>
  <c r="O67" i="3"/>
  <c r="N67" i="3"/>
  <c r="S66" i="3"/>
  <c r="R66" i="3"/>
  <c r="R66" i="3" a="1"/>
  <c r="Q66" i="3"/>
  <c r="P66" i="3"/>
  <c r="O66" i="3"/>
  <c r="N66" i="3"/>
  <c r="S65" i="3"/>
  <c r="R65" i="3"/>
  <c r="R65" i="3" a="1"/>
  <c r="Q65" i="3"/>
  <c r="P65" i="3"/>
  <c r="O65" i="3"/>
  <c r="N65" i="3"/>
  <c r="S64" i="3"/>
  <c r="R64" i="3"/>
  <c r="R64" i="3" a="1"/>
  <c r="Q64" i="3"/>
  <c r="P64" i="3"/>
  <c r="O64" i="3"/>
  <c r="N64" i="3"/>
  <c r="S63" i="3"/>
  <c r="R63" i="3"/>
  <c r="R63" i="3" a="1"/>
  <c r="Q63" i="3"/>
  <c r="P63" i="3"/>
  <c r="O63" i="3"/>
  <c r="N63" i="3"/>
  <c r="S62" i="3"/>
  <c r="R62" i="3"/>
  <c r="R62" i="3" a="1"/>
  <c r="Q62" i="3"/>
  <c r="P62" i="3"/>
  <c r="O62" i="3"/>
  <c r="N62" i="3"/>
  <c r="S61" i="3"/>
  <c r="R61" i="3"/>
  <c r="R61" i="3" a="1"/>
  <c r="Q61" i="3"/>
  <c r="P61" i="3"/>
  <c r="O61" i="3"/>
  <c r="N61" i="3"/>
  <c r="S60" i="3"/>
  <c r="R60" i="3"/>
  <c r="R60" i="3" a="1"/>
  <c r="Q60" i="3"/>
  <c r="P60" i="3"/>
  <c r="O60" i="3"/>
  <c r="N60" i="3"/>
  <c r="S59" i="3"/>
  <c r="R59" i="3"/>
  <c r="R59" i="3" a="1"/>
  <c r="Q59" i="3"/>
  <c r="P59" i="3"/>
  <c r="O59" i="3"/>
  <c r="N59" i="3"/>
  <c r="S58" i="3"/>
  <c r="R58" i="3"/>
  <c r="R58" i="3" a="1"/>
  <c r="Q58" i="3"/>
  <c r="P58" i="3"/>
  <c r="O58" i="3"/>
  <c r="N58" i="3"/>
  <c r="S57" i="3"/>
  <c r="R57" i="3"/>
  <c r="R57" i="3" a="1"/>
  <c r="Q57" i="3"/>
  <c r="P57" i="3"/>
  <c r="O57" i="3"/>
  <c r="N57" i="3"/>
  <c r="S56" i="3"/>
  <c r="R56" i="3"/>
  <c r="R56" i="3" a="1"/>
  <c r="Q56" i="3"/>
  <c r="P56" i="3"/>
  <c r="O56" i="3"/>
  <c r="N56" i="3"/>
  <c r="S55" i="3"/>
  <c r="R55" i="3"/>
  <c r="R55" i="3" a="1"/>
  <c r="Q55" i="3"/>
  <c r="P55" i="3"/>
  <c r="O55" i="3"/>
  <c r="N55" i="3"/>
  <c r="S54" i="3"/>
  <c r="R54" i="3"/>
  <c r="R54" i="3" a="1"/>
  <c r="Q54" i="3"/>
  <c r="P54" i="3"/>
  <c r="O54" i="3"/>
  <c r="N54" i="3"/>
  <c r="S53" i="3"/>
  <c r="R53" i="3"/>
  <c r="R53" i="3" a="1"/>
  <c r="Q53" i="3"/>
  <c r="P53" i="3"/>
  <c r="O53" i="3"/>
  <c r="N53" i="3"/>
  <c r="S52" i="3"/>
  <c r="R52" i="3"/>
  <c r="R52" i="3" a="1"/>
  <c r="Q52" i="3"/>
  <c r="P52" i="3"/>
  <c r="O52" i="3"/>
  <c r="N52" i="3"/>
  <c r="S51" i="3"/>
  <c r="R51" i="3"/>
  <c r="R51" i="3" a="1"/>
  <c r="Q51" i="3"/>
  <c r="P51" i="3"/>
  <c r="O51" i="3"/>
  <c r="N51" i="3"/>
  <c r="S50" i="3"/>
  <c r="R50" i="3"/>
  <c r="R50" i="3" a="1"/>
  <c r="Q50" i="3"/>
  <c r="P50" i="3"/>
  <c r="O50" i="3"/>
  <c r="N50" i="3"/>
  <c r="S49" i="3"/>
  <c r="R49" i="3"/>
  <c r="R49" i="3" a="1"/>
  <c r="Q49" i="3"/>
  <c r="P49" i="3"/>
  <c r="O49" i="3"/>
  <c r="N49" i="3"/>
  <c r="S48" i="3"/>
  <c r="R48" i="3"/>
  <c r="R48" i="3" a="1"/>
  <c r="Q48" i="3"/>
  <c r="P48" i="3"/>
  <c r="O48" i="3"/>
  <c r="N48" i="3"/>
  <c r="S47" i="3"/>
  <c r="R47" i="3"/>
  <c r="R47" i="3" a="1"/>
  <c r="Q47" i="3"/>
  <c r="P47" i="3"/>
  <c r="O47" i="3"/>
  <c r="N47" i="3"/>
  <c r="S46" i="3"/>
  <c r="R46" i="3"/>
  <c r="R46" i="3" a="1"/>
  <c r="Q46" i="3"/>
  <c r="P46" i="3"/>
  <c r="O46" i="3"/>
  <c r="N46" i="3"/>
  <c r="S45" i="3"/>
  <c r="R45" i="3"/>
  <c r="R45" i="3" a="1"/>
  <c r="Q45" i="3"/>
  <c r="P45" i="3"/>
  <c r="O45" i="3"/>
  <c r="N45" i="3"/>
  <c r="S44" i="3"/>
  <c r="R44" i="3"/>
  <c r="R44" i="3" a="1"/>
  <c r="Q44" i="3"/>
  <c r="P44" i="3"/>
  <c r="O44" i="3"/>
  <c r="N44" i="3"/>
  <c r="S43" i="3"/>
  <c r="R43" i="3"/>
  <c r="R43" i="3" a="1"/>
  <c r="Q43" i="3"/>
  <c r="P43" i="3"/>
  <c r="O43" i="3"/>
  <c r="N43" i="3"/>
  <c r="S42" i="3"/>
  <c r="R42" i="3"/>
  <c r="R42" i="3" a="1"/>
  <c r="Q42" i="3"/>
  <c r="P42" i="3"/>
  <c r="O42" i="3"/>
  <c r="N42" i="3"/>
  <c r="S41" i="3"/>
  <c r="R41" i="3"/>
  <c r="R41" i="3" a="1"/>
  <c r="Q41" i="3"/>
  <c r="P41" i="3"/>
  <c r="O41" i="3"/>
  <c r="N41" i="3"/>
  <c r="S40" i="3"/>
  <c r="R40" i="3"/>
  <c r="R40" i="3" a="1"/>
  <c r="Q40" i="3"/>
  <c r="P40" i="3"/>
  <c r="O40" i="3"/>
  <c r="N40" i="3"/>
  <c r="S39" i="3"/>
  <c r="R39" i="3"/>
  <c r="R39" i="3" a="1"/>
  <c r="Q39" i="3"/>
  <c r="P39" i="3"/>
  <c r="O39" i="3"/>
  <c r="N39" i="3"/>
  <c r="S38" i="3"/>
  <c r="R38" i="3"/>
  <c r="R38" i="3" a="1"/>
  <c r="Q38" i="3"/>
  <c r="P38" i="3"/>
  <c r="O38" i="3"/>
  <c r="N38" i="3"/>
  <c r="S37" i="3"/>
  <c r="R37" i="3"/>
  <c r="R37" i="3" a="1"/>
  <c r="Q37" i="3"/>
  <c r="P37" i="3"/>
  <c r="O37" i="3"/>
  <c r="N37" i="3"/>
  <c r="S36" i="3"/>
  <c r="R36" i="3"/>
  <c r="R36" i="3" a="1"/>
  <c r="Q36" i="3"/>
  <c r="P36" i="3"/>
  <c r="O36" i="3"/>
  <c r="N36" i="3"/>
  <c r="S35" i="3"/>
  <c r="R35" i="3"/>
  <c r="R35" i="3" a="1"/>
  <c r="Q35" i="3"/>
  <c r="P35" i="3"/>
  <c r="O35" i="3"/>
  <c r="N35" i="3"/>
  <c r="S34" i="3"/>
  <c r="R34" i="3"/>
  <c r="R34" i="3" a="1"/>
  <c r="Q34" i="3"/>
  <c r="P34" i="3"/>
  <c r="O34" i="3"/>
  <c r="N34" i="3"/>
  <c r="S33" i="3"/>
  <c r="R33" i="3"/>
  <c r="R33" i="3" a="1"/>
  <c r="Q33" i="3"/>
  <c r="P33" i="3"/>
  <c r="O33" i="3"/>
  <c r="N33" i="3"/>
  <c r="S32" i="3"/>
  <c r="R32" i="3"/>
  <c r="R32" i="3" a="1"/>
  <c r="Q32" i="3"/>
  <c r="P32" i="3"/>
  <c r="O32" i="3"/>
  <c r="N32" i="3"/>
  <c r="S31" i="3"/>
  <c r="R31" i="3"/>
  <c r="R31" i="3" a="1"/>
  <c r="Q31" i="3"/>
  <c r="P31" i="3"/>
  <c r="O31" i="3"/>
  <c r="N31" i="3"/>
  <c r="S30" i="3"/>
  <c r="R30" i="3"/>
  <c r="R30" i="3" a="1"/>
  <c r="Q30" i="3"/>
  <c r="P30" i="3"/>
  <c r="O30" i="3"/>
  <c r="N30" i="3"/>
  <c r="S29" i="3"/>
  <c r="R29" i="3"/>
  <c r="R29" i="3" a="1"/>
  <c r="Q29" i="3"/>
  <c r="P29" i="3"/>
  <c r="O29" i="3"/>
  <c r="N29" i="3"/>
  <c r="S28" i="3"/>
  <c r="R28" i="3"/>
  <c r="R28" i="3" a="1"/>
  <c r="Q28" i="3"/>
  <c r="P28" i="3"/>
  <c r="O28" i="3"/>
  <c r="N28" i="3"/>
  <c r="S27" i="3"/>
  <c r="R27" i="3"/>
  <c r="R27" i="3" a="1"/>
  <c r="Q27" i="3"/>
  <c r="P27" i="3"/>
  <c r="O27" i="3"/>
  <c r="N27" i="3"/>
  <c r="S26" i="3"/>
  <c r="R26" i="3"/>
  <c r="R26" i="3" a="1"/>
  <c r="Q26" i="3"/>
  <c r="P26" i="3"/>
  <c r="O26" i="3"/>
  <c r="N26" i="3"/>
  <c r="S25" i="3"/>
  <c r="R25" i="3"/>
  <c r="R25" i="3" a="1"/>
  <c r="Q25" i="3"/>
  <c r="P25" i="3"/>
  <c r="O25" i="3"/>
  <c r="N25" i="3"/>
  <c r="S24" i="3"/>
  <c r="R24" i="3"/>
  <c r="R24" i="3" a="1"/>
  <c r="Q24" i="3"/>
  <c r="P24" i="3"/>
  <c r="O24" i="3"/>
  <c r="N24" i="3"/>
  <c r="S23" i="3"/>
  <c r="R23" i="3"/>
  <c r="R23" i="3" a="1"/>
  <c r="Q23" i="3"/>
  <c r="P23" i="3"/>
  <c r="O23" i="3"/>
  <c r="N23" i="3"/>
  <c r="S22" i="3"/>
  <c r="R22" i="3"/>
  <c r="R22" i="3" a="1"/>
  <c r="Q22" i="3"/>
  <c r="P22" i="3"/>
  <c r="O22" i="3"/>
  <c r="N22" i="3"/>
  <c r="S21" i="3"/>
  <c r="R21" i="3"/>
  <c r="R21" i="3" a="1"/>
  <c r="Q21" i="3"/>
  <c r="P21" i="3"/>
  <c r="O21" i="3"/>
  <c r="N21" i="3"/>
  <c r="S20" i="3"/>
  <c r="R20" i="3"/>
  <c r="R20" i="3" a="1"/>
  <c r="Q20" i="3"/>
  <c r="P20" i="3"/>
  <c r="O20" i="3"/>
  <c r="N20" i="3"/>
  <c r="S19" i="3"/>
  <c r="R19" i="3"/>
  <c r="R19" i="3" a="1"/>
  <c r="Q19" i="3"/>
  <c r="P19" i="3"/>
  <c r="O19" i="3"/>
  <c r="N19" i="3"/>
  <c r="S18" i="3"/>
  <c r="R18" i="3"/>
  <c r="R18" i="3" a="1"/>
  <c r="Q18" i="3"/>
  <c r="P18" i="3"/>
  <c r="O18" i="3"/>
  <c r="N18" i="3"/>
  <c r="S17" i="3"/>
  <c r="R17" i="3"/>
  <c r="R17" i="3" a="1"/>
  <c r="Q17" i="3"/>
  <c r="P17" i="3"/>
  <c r="O17" i="3"/>
  <c r="N17" i="3"/>
  <c r="S16" i="3"/>
  <c r="R16" i="3"/>
  <c r="R16" i="3" a="1"/>
  <c r="Q16" i="3"/>
  <c r="P16" i="3"/>
  <c r="O16" i="3"/>
  <c r="N16" i="3"/>
  <c r="S15" i="3"/>
  <c r="R15" i="3"/>
  <c r="R15" i="3" a="1"/>
  <c r="Q15" i="3"/>
  <c r="P15" i="3"/>
  <c r="O15" i="3"/>
  <c r="N15" i="3"/>
  <c r="S14" i="3"/>
  <c r="R14" i="3"/>
  <c r="R14" i="3" a="1"/>
  <c r="Q14" i="3"/>
  <c r="P14" i="3"/>
  <c r="O14" i="3"/>
  <c r="N14" i="3"/>
  <c r="S13" i="3"/>
  <c r="R13" i="3"/>
  <c r="R13" i="3" a="1"/>
  <c r="Q13" i="3"/>
  <c r="P13" i="3"/>
  <c r="O13" i="3"/>
  <c r="N13" i="3"/>
  <c r="S12" i="3"/>
  <c r="R12" i="3"/>
  <c r="R12" i="3" a="1"/>
  <c r="Q12" i="3"/>
  <c r="P12" i="3"/>
  <c r="O12" i="3"/>
  <c r="N12" i="3"/>
  <c r="S11" i="3"/>
  <c r="R11" i="3"/>
  <c r="R11" i="3" a="1"/>
  <c r="Q11" i="3"/>
  <c r="P11" i="3"/>
  <c r="O11" i="3"/>
  <c r="N11" i="3"/>
  <c r="S10" i="3"/>
  <c r="R10" i="3"/>
  <c r="R10" i="3" a="1"/>
  <c r="Q10" i="3"/>
  <c r="P10" i="3"/>
  <c r="O10" i="3"/>
  <c r="N10" i="3"/>
  <c r="S9" i="3"/>
  <c r="R9" i="3"/>
  <c r="R9" i="3" a="1"/>
  <c r="Q9" i="3"/>
  <c r="P9" i="3"/>
  <c r="O9" i="3"/>
  <c r="N9" i="3"/>
  <c r="S8" i="3"/>
  <c r="R8" i="3"/>
  <c r="R8" i="3" a="1"/>
  <c r="Q8" i="3"/>
  <c r="P8" i="3"/>
  <c r="O8" i="3"/>
  <c r="N8" i="3"/>
  <c r="S7" i="3"/>
  <c r="R7" i="3"/>
  <c r="R7" i="3" a="1"/>
  <c r="Q7" i="3"/>
  <c r="P7" i="3"/>
  <c r="O7" i="3"/>
  <c r="N7" i="3"/>
  <c r="S6" i="3"/>
  <c r="R6" i="3"/>
  <c r="R6" i="3" a="1"/>
  <c r="Q6" i="3"/>
  <c r="P6" i="3"/>
  <c r="O6" i="3"/>
  <c r="N6" i="3"/>
  <c r="S5" i="3"/>
  <c r="R5" i="3"/>
  <c r="R5" i="3" a="1"/>
  <c r="Q5" i="3"/>
  <c r="P5" i="3"/>
  <c r="O5" i="3"/>
  <c r="N5" i="3"/>
  <c r="S4" i="3"/>
  <c r="R4" i="3"/>
  <c r="R4" i="3" a="1"/>
  <c r="Q4" i="3"/>
  <c r="P4" i="3"/>
  <c r="O4" i="3"/>
  <c r="N4" i="3"/>
  <c r="S3" i="3"/>
  <c r="R3" i="3"/>
  <c r="R3" i="3" a="1"/>
  <c r="Q3" i="3"/>
  <c r="P3" i="3"/>
  <c r="O3" i="3"/>
  <c r="N3" i="3"/>
  <c r="S2" i="3"/>
  <c r="R2" i="3"/>
  <c r="R2" i="3" a="1"/>
  <c r="Q2" i="3"/>
  <c r="P2" i="3"/>
  <c r="O2" i="3"/>
  <c r="N2" i="3"/>
  <c r="D8" i="27"/>
  <c r="C8" i="27"/>
  <c r="D7" i="27"/>
  <c r="C7" i="27"/>
  <c r="D6" i="27"/>
  <c r="C6" i="27"/>
  <c r="D5" i="27"/>
  <c r="C5" i="27"/>
  <c r="D4" i="27"/>
  <c r="C4" i="27"/>
  <c r="D108" i="51"/>
  <c r="D107" i="51"/>
  <c r="G99" i="51"/>
  <c r="I99" i="51" s="1"/>
  <c r="D88" i="51"/>
  <c r="D87" i="51"/>
  <c r="D86" i="51"/>
  <c r="C78" i="5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<sst xmlns="http://schemas.openxmlformats.org/spreadsheetml/2006/main" count="2452" uniqueCount="354">
  <si>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</si>
  <si>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</si>
  <si>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</si>
  <si>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</si>
  <si>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</si>
  <si>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</si>
  <si>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</si>
  <si>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</si>
  <si>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</si>
  <si>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</si>
  <si>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</si>
  <si>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</si>
  <si>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</si>
  <si>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</si>
  <si>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</si>
  <si>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</si>
  <si>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</si>
  <si>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</si>
  <si>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</si>
  <si>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</si>
  <si>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</si>
  <si>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</si>
  <si>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</si>
  <si>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</si>
  <si>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</si>
  <si>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</si>
  <si>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</si>
  <si>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</si>
  <si>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</si>
  <si>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</si>
  <si>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</si>
  <si>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</si>
  <si>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</si>
  <si>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</si>
  <si>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</si>
  <si>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</si>
  <si>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</si>
  <si>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</si>
  <si>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</si>
  <si>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</si>
  <si>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</si>
  <si>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</si>
  <si>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</si>
  <si>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</si>
  <si>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</si>
  <si>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</si>
  <si>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</si>
  <si>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</si>
  <si>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</si>
  <si>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</si>
  <si>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</si>
  <si>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</si>
  <si>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</si>
  <si>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</si>
  <si>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</si>
  <si>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</si>
  <si>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</si>
  <si>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</si>
  <si>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</si>
  <si>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</si>
  <si>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</si>
  <si>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</si>
  <si>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</si>
  <si>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</si>
  <si>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</si>
  <si>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</si>
  <si>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</si>
  <si>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</si>
  <si>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</si>
  <si>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</si>
  <si>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</si>
  <si>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</si>
  <si>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</si>
  <si>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</si>
  <si>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</si>
  <si>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</si>
  <si>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</si>
  <si>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</si>
  <si>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</si>
  <si>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</si>
  <si>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</si>
  <si>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</si>
  <si>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</si>
  <si>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</si>
  <si>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</si>
  <si>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</si>
  <si>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</si>
  <si>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</si>
  <si>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</si>
  <si>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</si>
  <si>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</si>
  <si>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</si>
  <si>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</si>
  <si>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</si>
  <si>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</si>
  <si>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</si>
  <si>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</si>
  <si>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</si>
  <si>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</si>
  <si>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</si>
  <si>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</si>
  <si>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</si>
  <si>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</si>
  <si>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</si>
  <si>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</si>
  <si>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</si>
  <si>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</si>
  <si>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</si>
  <si>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</si>
  <si>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</si>
  <si>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</si>
  <si>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</si>
  <si>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</si>
  <si>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</si>
  <si>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</si>
  <si>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</si>
  <si>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</si>
  <si>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</si>
  <si>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</si>
  <si>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</si>
  <si>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</si>
  <si>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</si>
  <si>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</si>
  <si>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</si>
  <si>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</si>
  <si>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</si>
  <si>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</si>
  <si>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</si>
  <si>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</si>
  <si>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</si>
  <si>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</si>
  <si>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</si>
  <si>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</si>
  <si>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</si>
  <si>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</si>
  <si>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</si>
  <si>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</si>
  <si>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</si>
  <si>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</si>
  <si>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</si>
  <si>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</si>
  <si>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</si>
  <si>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</si>
  <si>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</si>
  <si>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</si>
  <si>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</si>
  <si>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</si>
  <si>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</si>
  <si>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</si>
  <si>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</si>
  <si>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</si>
  <si>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</si>
  <si>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</si>
  <si>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</si>
  <si>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</si>
  <si>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</si>
  <si>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</si>
  <si>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</si>
  <si>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</si>
  <si>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</si>
  <si>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</si>
  <si>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</si>
  <si>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</si>
  <si>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</si>
  <si>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</si>
  <si>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</si>
  <si>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</si>
  <si>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</si>
  <si>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</si>
  <si>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</si>
  <si>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</si>
  <si>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</si>
  <si>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</si>
  <si>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</si>
  <si>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</si>
  <si>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</si>
  <si>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</si>
  <si>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</si>
  <si>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</si>
  <si>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</si>
  <si>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</si>
  <si>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</si>
  <si>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</si>
  <si>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</si>
  <si>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</si>
  <si>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</si>
  <si>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</si>
  <si>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</si>
  <si>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</si>
  <si>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</si>
  <si>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</si>
  <si>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</si>
  <si>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</si>
  <si>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</si>
  <si>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</si>
  <si>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</si>
  <si>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</si>
  <si>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</si>
  <si>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</si>
  <si>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</si>
  <si>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</si>
  <si>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</si>
  <si>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</si>
  <si>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</si>
  <si>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</si>
  <si>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</si>
  <si>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</si>
  <si>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</si>
  <si>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</si>
  <si>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</si>
  <si>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</si>
  <si>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</si>
  <si>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</si>
  <si>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</si>
  <si>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</si>
  <si>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</si>
  <si>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</si>
  <si>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</si>
  <si>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</si>
  <si>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</si>
  <si>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</si>
  <si>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</si>
  <si>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</si>
  <si>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</si>
  <si>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</si>
  <si>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</si>
  <si>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</si>
  <si>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</si>
  <si>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</si>
  <si>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</si>
  <si>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</si>
  <si>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</si>
  <si>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</si>
  <si>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</si>
  <si>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</si>
  <si>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</si>
  <si>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</si>
  <si>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</si>
  <si>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</si>
  <si>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</si>
  <si>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</si>
  <si>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</si>
  <si>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</si>
  <si>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</si>
  <si>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</si>
  <si>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</si>
  <si>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</si>
  <si>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</si>
  <si>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</si>
  <si>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</si>
  <si>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</si>
  <si>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</si>
  <si>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</si>
  <si>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</si>
  <si>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</si>
  <si>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</si>
  <si>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</si>
  <si>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</si>
  <si>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</si>
  <si>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</si>
  <si>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</si>
  <si>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</si>
  <si>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</si>
  <si>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</si>
  <si>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</si>
  <si>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</si>
  <si>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</si>
  <si>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</si>
  <si>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</si>
  <si>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</si>
  <si>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</si>
  <si>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</si>
  <si>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</si>
  <si>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</si>
  <si>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</si>
  <si>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</si>
  <si>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</si>
  <si>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</si>
  <si>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</si>
  <si>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</si>
  <si>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</si>
  <si>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</si>
  <si>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</si>
  <si>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</si>
  <si>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</si>
  <si>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</si>
  <si>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</si>
  <si>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</si>
  <si>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</si>
  <si>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</si>
  <si>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</si>
  <si>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</si>
  <si>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</si>
  <si>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</si>
  <si>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</si>
  <si>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</si>
  <si>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</si>
  <si>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</si>
  <si>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</si>
  <si>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</si>
  <si>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</si>
  <si>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</si>
  <si>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</si>
  <si>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</si>
  <si>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</si>
  <si>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</si>
  <si>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</si>
  <si>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</si>
  <si>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</si>
  <si>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</si>
  <si>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</si>
  <si>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Cancelled Delivery</t>
  </si>
  <si>
    <t>Product category</t>
  </si>
  <si>
    <t>Average Time</t>
  </si>
  <si>
    <t>Delivery Performance</t>
  </si>
  <si>
    <t>Row Labels</t>
  </si>
  <si>
    <t>Grand Total</t>
  </si>
  <si>
    <t>Sum of Total Amount</t>
  </si>
  <si>
    <t>Column Labels</t>
  </si>
  <si>
    <t>Count of Quantity</t>
  </si>
  <si>
    <t>(All)</t>
  </si>
  <si>
    <t>Count of Order ID</t>
  </si>
  <si>
    <t>% Fast Delivery</t>
  </si>
  <si>
    <t>High</t>
  </si>
  <si>
    <t>Low</t>
  </si>
  <si>
    <t>NA</t>
  </si>
  <si>
    <t>Yes</t>
  </si>
  <si>
    <t>Count of Customer ID</t>
  </si>
  <si>
    <t>total amount</t>
  </si>
  <si>
    <t>top 3 region</t>
  </si>
  <si>
    <t>No</t>
  </si>
  <si>
    <t>Fast</t>
  </si>
  <si>
    <t>Slow</t>
  </si>
  <si>
    <t>highest selling product</t>
  </si>
  <si>
    <t>Count of Average Time</t>
  </si>
  <si>
    <t>2. Creating Pivot Tables</t>
  </si>
  <si>
    <r>
      <rPr>
        <b/>
        <sz val="12"/>
        <color theme="1"/>
        <rFont val="Bahnschrift"/>
        <family val="2"/>
      </rPr>
      <t>4.1 ---&gt;</t>
    </r>
    <r>
      <rPr>
        <sz val="12"/>
        <color theme="1"/>
        <rFont val="Bahnschrift"/>
        <family val="2"/>
      </rPr>
      <t xml:space="preserve"> Create a field: Cancellation Rate by Region (Cancelled Orders / Total Orders)</t>
    </r>
  </si>
  <si>
    <r>
      <rPr>
        <b/>
        <sz val="12"/>
        <color theme="1"/>
        <rFont val="Bahnschrift"/>
        <family val="2"/>
      </rPr>
      <t>4.2 ---&gt;</t>
    </r>
    <r>
      <rPr>
        <sz val="12"/>
        <color theme="1"/>
        <rFont val="Bahnschrift"/>
        <family val="2"/>
      </rPr>
      <t xml:space="preserve"> Add Calculated Field in Pivot: Effective Sales = Sales Amount for Delivered Orders only</t>
    </r>
  </si>
  <si>
    <r>
      <rPr>
        <b/>
        <sz val="12"/>
        <rFont val="Bahnschrift"/>
        <family val="2"/>
      </rPr>
      <t>4.3 ---&gt;</t>
    </r>
    <r>
      <rPr>
        <sz val="12"/>
        <rFont val="Bahnschrift"/>
        <family val="2"/>
      </rPr>
      <t xml:space="preserve"> Create KPI Cards for:</t>
    </r>
  </si>
  <si>
    <r>
      <rPr>
        <sz val="11"/>
        <color rgb="FFFF0000"/>
        <rFont val="Arial Narrow"/>
        <family val="2"/>
      </rPr>
      <t>👉</t>
    </r>
    <r>
      <rPr>
        <sz val="11"/>
        <color rgb="FF000000"/>
        <rFont val="Arial Narrow"/>
        <family val="2"/>
      </rPr>
      <t xml:space="preserve"> Total Revenue</t>
    </r>
  </si>
  <si>
    <r>
      <rPr>
        <sz val="11"/>
        <color rgb="FFFF0000"/>
        <rFont val="Arial Narrow"/>
        <family val="2"/>
      </rPr>
      <t xml:space="preserve">👉 </t>
    </r>
    <r>
      <rPr>
        <sz val="11"/>
        <color rgb="FF000000"/>
        <rFont val="Arial Narrow"/>
        <family val="2"/>
      </rPr>
      <t>Top 3 Performing Regions</t>
    </r>
  </si>
  <si>
    <r>
      <t xml:space="preserve">👉 </t>
    </r>
    <r>
      <rPr>
        <sz val="11"/>
        <rFont val="Arial Narrow"/>
        <family val="2"/>
      </rPr>
      <t>% of Fast Deliveries</t>
    </r>
  </si>
  <si>
    <r>
      <rPr>
        <sz val="11"/>
        <color rgb="FFFF0000"/>
        <rFont val="Arial Narrow"/>
        <family val="2"/>
      </rPr>
      <t>👉</t>
    </r>
    <r>
      <rPr>
        <sz val="11"/>
        <color rgb="FF000000"/>
        <rFont val="Arial Narrow"/>
        <family val="2"/>
      </rPr>
      <t xml:space="preserve"> Highest-selling Product</t>
    </r>
  </si>
  <si>
    <r>
      <rPr>
        <b/>
        <sz val="11"/>
        <color theme="1"/>
        <rFont val="Bahnschrift"/>
        <family val="2"/>
      </rPr>
      <t>2.3 ---&gt;</t>
    </r>
    <r>
      <rPr>
        <sz val="11"/>
        <color theme="1"/>
        <rFont val="Bahnschrift"/>
        <family val="2"/>
      </rPr>
      <t xml:space="preserve"> Average Delivery Time = Delivery Date – Order Date</t>
    </r>
  </si>
  <si>
    <r>
      <rPr>
        <b/>
        <sz val="11"/>
        <color theme="1"/>
        <rFont val="Bahnschrift"/>
        <family val="2"/>
      </rPr>
      <t>2.4 ---&gt;</t>
    </r>
    <r>
      <rPr>
        <sz val="11"/>
        <color theme="1"/>
        <rFont val="Bahnschrift"/>
        <family val="2"/>
      </rPr>
      <t xml:space="preserve"> Add filter for Payment Method and Product Category</t>
    </r>
  </si>
  <si>
    <r>
      <rPr>
        <b/>
        <sz val="11"/>
        <color theme="1"/>
        <rFont val="Bahnschrift"/>
        <family val="2"/>
      </rPr>
      <t xml:space="preserve">2.2 ---&gt; </t>
    </r>
    <r>
      <rPr>
        <sz val="11"/>
        <color theme="1"/>
        <rFont val="Bahnschrift"/>
        <family val="2"/>
      </rPr>
      <t>Count of Orders by Delivery Status</t>
    </r>
  </si>
  <si>
    <r>
      <rPr>
        <b/>
        <sz val="11"/>
        <color theme="1"/>
        <rFont val="Bahnschrift"/>
        <family val="2"/>
      </rPr>
      <t>2.1 --&gt;</t>
    </r>
    <r>
      <rPr>
        <sz val="11"/>
        <color theme="1"/>
        <rFont val="Bahnschrift"/>
        <family val="2"/>
      </rPr>
      <t xml:space="preserve">  Show Total Sales Amount by Region and Product Category</t>
    </r>
  </si>
  <si>
    <t>4. Advance Reporting : KPI Metrics &amp; Calculated Feilds</t>
  </si>
  <si>
    <t>Jul</t>
  </si>
  <si>
    <t>Oct</t>
  </si>
  <si>
    <t>Jun</t>
  </si>
  <si>
    <t>Aug</t>
  </si>
  <si>
    <t>(Multiple Items)</t>
  </si>
  <si>
    <t>5.3 ---&gt; Add a drop-down to filter sales by Month (group Order Date in Pivot)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</si>
</sst>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
      <sz val="11"/>
      <color rgb="FF000000"/>
      <name val="Tahoma"/>
      <family val="2"/>
    </font>
    <font>
      <sz val="11"/>
      <color rgb="FF000000"/>
      <name val="Arial Narrow"/>
      <family val="2"/>
    </font>
    <font>
      <sz val="12"/>
      <color theme="1"/>
      <name val="Bahnschrift"/>
      <family val="2"/>
    </font>
    <font>
      <b/>
      <sz val="12"/>
      <color theme="1"/>
      <name val="Bahnschrift"/>
      <family val="2"/>
    </font>
    <font>
      <sz val="11"/>
      <color theme="1"/>
      <name val="Bahnschrift"/>
      <family val="2"/>
    </font>
    <font>
      <sz val="12"/>
      <name val="Bahnschrift"/>
      <family val="2"/>
    </font>
    <font>
      <b/>
      <sz val="12"/>
      <name val="Bahnschrift"/>
      <family val="2"/>
    </font>
    <font>
      <sz val="11"/>
      <color rgb="FFFF0000"/>
      <name val="Arial Narrow"/>
      <family val="2"/>
    </font>
    <font>
      <sz val="11"/>
      <color theme="1"/>
      <name val="Arial Narrow"/>
      <family val="2"/>
    </font>
    <font>
      <sz val="11"/>
      <name val="Arial Narrow"/>
      <family val="2"/>
    </font>
    <font>
      <b/>
      <sz val="11"/>
      <color theme="1"/>
      <name val="Bahnschrift"/>
      <family val="2"/>
    </font>
    <font>
      <sz val="11"/>
      <color theme="1"/>
      <name val="Arial Black"/>
      <family val="2"/>
    </font>
    <font>
      <b/>
      <sz val="13"/>
      <color rgb="FF000000"/>
      <name val="Arial Black"/>
      <family val="2"/>
    </font>
    <font>
      <sz val="11"/>
      <color rgb="FF000000"/>
      <name val="Bahnschrift"/>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1" xfId="0" applyBorder="1"/>
    <xf numFmtId="14" fontId="0" fillId="0" borderId="1" xfId="0" applyNumberFormat="1" applyBorder="1"/>
    <xf numFmtId="14" fontId="0" fillId="0" borderId="2" xfId="0" applyNumberFormat="1"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0" fontId="0" fillId="0" borderId="0" xfId="0" pivotButton="1"/>
    <xf numFmtId="0" fontId="0" fillId="0" borderId="0" xfId="0" applyAlignment="1">
      <alignment horizontal="left"/>
    </xf>
    <xf numFmtId="10" fontId="0" fillId="0" borderId="0" xfId="0" applyNumberFormat="1"/>
    <xf numFmtId="0" fontId="3" fillId="0" borderId="0" xfId="0" applyFont="1" applyAlignment="1">
      <alignment horizontal="center"/>
    </xf>
    <xf numFmtId="0" fontId="0" fillId="0" borderId="4" xfId="0" applyBorder="1"/>
    <xf numFmtId="0" fontId="0" fillId="0" borderId="0" xfId="0" applyNumberFormat="1"/>
    <xf numFmtId="14" fontId="0" fillId="0" borderId="0" xfId="0" applyNumberFormat="1"/>
    <xf numFmtId="0" fontId="4" fillId="0" borderId="0" xfId="0" applyFont="1" applyAlignment="1">
      <alignment horizontal="left" vertical="center" indent="2"/>
    </xf>
    <xf numFmtId="0" fontId="6" fillId="0" borderId="0" xfId="0" applyFont="1" applyAlignment="1">
      <alignment horizontal="left"/>
    </xf>
    <xf numFmtId="0" fontId="6" fillId="0" borderId="0" xfId="0" applyFont="1"/>
    <xf numFmtId="0" fontId="6" fillId="0" borderId="0" xfId="0" applyNumberFormat="1" applyFont="1"/>
    <xf numFmtId="0" fontId="8" fillId="0" borderId="0" xfId="0" applyFont="1"/>
    <xf numFmtId="0" fontId="9" fillId="0" borderId="0" xfId="0" applyFont="1"/>
    <xf numFmtId="0" fontId="5" fillId="0" borderId="0" xfId="0" applyFont="1" applyAlignment="1">
      <alignment horizontal="left" vertical="center" indent="1"/>
    </xf>
    <xf numFmtId="0" fontId="12" fillId="0" borderId="0" xfId="0" applyFont="1"/>
    <xf numFmtId="0" fontId="11" fillId="0" borderId="0" xfId="0" applyFont="1"/>
    <xf numFmtId="0" fontId="5" fillId="0" borderId="0" xfId="0" applyFont="1"/>
    <xf numFmtId="0" fontId="8" fillId="0" borderId="0" xfId="0" applyFont="1" applyAlignment="1">
      <alignment horizontal="left"/>
    </xf>
    <xf numFmtId="0" fontId="8" fillId="0" borderId="0" xfId="0" applyNumberFormat="1" applyFont="1"/>
    <xf numFmtId="0" fontId="15" fillId="0" borderId="0" xfId="0" applyFont="1"/>
    <xf numFmtId="0" fontId="16" fillId="0" borderId="0" xfId="0" applyFont="1"/>
    <xf numFmtId="14" fontId="0" fillId="0" borderId="0" xfId="0" applyNumberFormat="1" applyAlignment="1">
      <alignment horizontal="left"/>
    </xf>
    <xf numFmtId="0" fontId="17" fillId="0" borderId="0" xfId="0" applyFont="1" applyAlignment="1">
      <alignment horizontal="left" vertical="center" indent="1"/>
    </xf>
  </cellXfs>
  <cellStyles count="1">
    <cellStyle name="Normal" xfId="0" builtinId="0"/>
  </cellStyles>
  <dxfs count="17">
    <dxf>
      <numFmt numFmtId="164" formatCode="m/d/yyyy"/>
      <border diagonalUp="0" diagonalDown="0">
        <left style="thin">
          <color indexed="64"/>
        </left>
        <right style="thin">
          <color indexed="64"/>
        </right>
        <top style="thin">
          <color indexed="64"/>
        </top>
        <bottom style="thin">
          <color indexed="64"/>
        </bottom>
        <vertical/>
        <horizontal/>
      </border>
    </dxf>
    <dxf>
      <numFmt numFmtId="164" formatCode="m/d/yyyy"/>
      <border diagonalUp="0" diagonalDown="0">
        <left style="thin">
          <color indexed="64"/>
        </left>
        <right style="thin">
          <color indexed="64"/>
        </right>
        <top style="thin">
          <color indexed="64"/>
        </top>
        <bottom style="thin">
          <color indexed="64"/>
        </bottom>
        <vertical/>
        <horizontal/>
      </border>
    </dxf>
    <dxf>
      <numFmt numFmtId="164"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numFmt numFmtId="164" formatCode="m/d/yyyy"/>
      <border diagonalUp="0" diagonalDown="0" outline="0">
        <left style="thin">
          <color indexed="64"/>
        </left>
        <right style="thin">
          <color indexed="64"/>
        </right>
        <top/>
        <bottom/>
      </border>
    </dxf>
    <dxf>
      <numFmt numFmtId="19" formatCode="dd/mm/yyyy"/>
    </dxf>
    <dxf>
      <numFmt numFmtId="19" formatCode="dd/mm/yyyy"/>
    </dxf>
  </dxfs>
  <tableStyles count="0" defaultTableStyle="TableStyleMedium2" defaultPivotStyle="PivotStyleLight16"/>
  <colors>
    <mruColors>
      <color rgb="FFFF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sales.xlsx]pvt tables &amp; KPIs!PivotTable6</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Region</a:t>
            </a:r>
            <a:r>
              <a:rPr lang="en-GB" b="1" baseline="0">
                <a:solidFill>
                  <a:schemeClr val="tx1"/>
                </a:solidFill>
              </a:rPr>
              <a:t> Sales By Product Category</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 tables &amp; KPIs'!$B$7:$B$8</c:f>
              <c:strCache>
                <c:ptCount val="1"/>
                <c:pt idx="0">
                  <c:v>Electronics</c:v>
                </c:pt>
              </c:strCache>
            </c:strRef>
          </c:tx>
          <c:spPr>
            <a:solidFill>
              <a:schemeClr val="accent1"/>
            </a:solidFill>
            <a:ln>
              <a:noFill/>
            </a:ln>
            <a:effectLst/>
          </c:spPr>
          <c:invertIfNegative val="0"/>
          <c:cat>
            <c:strRef>
              <c:f>'pvt tables &amp; KPIs'!$A$9:$A$10</c:f>
              <c:strCache>
                <c:ptCount val="1"/>
                <c:pt idx="0">
                  <c:v>Central</c:v>
                </c:pt>
              </c:strCache>
            </c:strRef>
          </c:cat>
          <c:val>
            <c:numRef>
              <c:f>'pvt tables &amp; KPIs'!$B$9:$B$10</c:f>
              <c:numCache>
                <c:formatCode>General</c:formatCode>
                <c:ptCount val="1"/>
                <c:pt idx="0">
                  <c:v>1056</c:v>
                </c:pt>
              </c:numCache>
            </c:numRef>
          </c:val>
          <c:extLst>
            <c:ext xmlns:c16="http://schemas.microsoft.com/office/drawing/2014/chart" uri="{C3380CC4-5D6E-409C-BE32-E72D297353CC}">
              <c16:uniqueId val="{00000000-73BE-4FFB-94C0-B571E67B9B73}"/>
            </c:ext>
          </c:extLst>
        </c:ser>
        <c:ser>
          <c:idx val="1"/>
          <c:order val="1"/>
          <c:tx>
            <c:strRef>
              <c:f>'pvt tables &amp; KPIs'!$C$7:$C$8</c:f>
              <c:strCache>
                <c:ptCount val="1"/>
                <c:pt idx="0">
                  <c:v>Fashion</c:v>
                </c:pt>
              </c:strCache>
            </c:strRef>
          </c:tx>
          <c:spPr>
            <a:solidFill>
              <a:schemeClr val="accent2"/>
            </a:solidFill>
            <a:ln>
              <a:noFill/>
            </a:ln>
            <a:effectLst/>
          </c:spPr>
          <c:invertIfNegative val="0"/>
          <c:cat>
            <c:strRef>
              <c:f>'pvt tables &amp; KPIs'!$A$9:$A$10</c:f>
              <c:strCache>
                <c:ptCount val="1"/>
                <c:pt idx="0">
                  <c:v>Central</c:v>
                </c:pt>
              </c:strCache>
            </c:strRef>
          </c:cat>
          <c:val>
            <c:numRef>
              <c:f>'pvt tables &amp; KPIs'!$C$9:$C$10</c:f>
              <c:numCache>
                <c:formatCode>General</c:formatCode>
                <c:ptCount val="1"/>
                <c:pt idx="0">
                  <c:v>88</c:v>
                </c:pt>
              </c:numCache>
            </c:numRef>
          </c:val>
          <c:extLst>
            <c:ext xmlns:c16="http://schemas.microsoft.com/office/drawing/2014/chart" uri="{C3380CC4-5D6E-409C-BE32-E72D297353CC}">
              <c16:uniqueId val="{0000000C-98B6-4A0B-B378-3F0A0B35E8BF}"/>
            </c:ext>
          </c:extLst>
        </c:ser>
        <c:ser>
          <c:idx val="2"/>
          <c:order val="2"/>
          <c:tx>
            <c:strRef>
              <c:f>'pvt tables &amp; KPIs'!$D$7:$D$8</c:f>
              <c:strCache>
                <c:ptCount val="1"/>
                <c:pt idx="0">
                  <c:v>Home</c:v>
                </c:pt>
              </c:strCache>
            </c:strRef>
          </c:tx>
          <c:spPr>
            <a:solidFill>
              <a:schemeClr val="accent3"/>
            </a:solidFill>
            <a:ln>
              <a:noFill/>
            </a:ln>
            <a:effectLst/>
          </c:spPr>
          <c:invertIfNegative val="0"/>
          <c:cat>
            <c:strRef>
              <c:f>'pvt tables &amp; KPIs'!$A$9:$A$10</c:f>
              <c:strCache>
                <c:ptCount val="1"/>
                <c:pt idx="0">
                  <c:v>Central</c:v>
                </c:pt>
              </c:strCache>
            </c:strRef>
          </c:cat>
          <c:val>
            <c:numRef>
              <c:f>'pvt tables &amp; KPIs'!$D$9:$D$10</c:f>
              <c:numCache>
                <c:formatCode>General</c:formatCode>
                <c:ptCount val="1"/>
                <c:pt idx="0">
                  <c:v>685</c:v>
                </c:pt>
              </c:numCache>
            </c:numRef>
          </c:val>
          <c:extLst>
            <c:ext xmlns:c16="http://schemas.microsoft.com/office/drawing/2014/chart" uri="{C3380CC4-5D6E-409C-BE32-E72D297353CC}">
              <c16:uniqueId val="{0000000D-98B6-4A0B-B378-3F0A0B35E8BF}"/>
            </c:ext>
          </c:extLst>
        </c:ser>
        <c:ser>
          <c:idx val="3"/>
          <c:order val="3"/>
          <c:tx>
            <c:strRef>
              <c:f>'pvt tables &amp; KPIs'!$E$7:$E$8</c:f>
              <c:strCache>
                <c:ptCount val="1"/>
                <c:pt idx="0">
                  <c:v>Toys</c:v>
                </c:pt>
              </c:strCache>
            </c:strRef>
          </c:tx>
          <c:spPr>
            <a:solidFill>
              <a:schemeClr val="accent4"/>
            </a:solidFill>
            <a:ln>
              <a:noFill/>
            </a:ln>
            <a:effectLst/>
          </c:spPr>
          <c:invertIfNegative val="0"/>
          <c:cat>
            <c:strRef>
              <c:f>'pvt tables &amp; KPIs'!$A$9:$A$10</c:f>
              <c:strCache>
                <c:ptCount val="1"/>
                <c:pt idx="0">
                  <c:v>Central</c:v>
                </c:pt>
              </c:strCache>
            </c:strRef>
          </c:cat>
          <c:val>
            <c:numRef>
              <c:f>'pvt tables &amp; KPIs'!$E$9:$E$10</c:f>
              <c:numCache>
                <c:formatCode>General</c:formatCode>
                <c:ptCount val="1"/>
                <c:pt idx="0">
                  <c:v>291</c:v>
                </c:pt>
              </c:numCache>
            </c:numRef>
          </c:val>
          <c:extLst>
            <c:ext xmlns:c16="http://schemas.microsoft.com/office/drawing/2014/chart" uri="{C3380CC4-5D6E-409C-BE32-E72D297353CC}">
              <c16:uniqueId val="{0000000E-98B6-4A0B-B378-3F0A0B35E8BF}"/>
            </c:ext>
          </c:extLst>
        </c:ser>
        <c:dLbls>
          <c:showLegendKey val="0"/>
          <c:showVal val="0"/>
          <c:showCatName val="0"/>
          <c:showSerName val="0"/>
          <c:showPercent val="0"/>
          <c:showBubbleSize val="0"/>
        </c:dLbls>
        <c:gapWidth val="182"/>
        <c:axId val="518629519"/>
        <c:axId val="518637839"/>
      </c:barChart>
      <c:catAx>
        <c:axId val="518629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8637839"/>
        <c:crosses val="autoZero"/>
        <c:auto val="1"/>
        <c:lblAlgn val="ctr"/>
        <c:lblOffset val="100"/>
        <c:noMultiLvlLbl val="0"/>
      </c:catAx>
      <c:valAx>
        <c:axId val="5186378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862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84000">
          <a:schemeClr val="accent1">
            <a:lumMod val="20000"/>
            <a:lumOff val="80000"/>
          </a:schemeClr>
        </a:gs>
        <a:gs pos="19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sales.xlsx]pvt tables &amp; KPIs!PivotTable7</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sz="1400" b="1">
                <a:solidFill>
                  <a:schemeClr val="tx1"/>
                </a:solidFill>
              </a:rPr>
              <a:t>Order</a:t>
            </a:r>
            <a:r>
              <a:rPr lang="en-GB" sz="1400" b="1" baseline="0">
                <a:solidFill>
                  <a:schemeClr val="tx1"/>
                </a:solidFill>
              </a:rPr>
              <a:t> Status  By Region</a:t>
            </a:r>
            <a:endParaRPr lang="en-GB"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44261889630172E-2"/>
          <c:y val="8.8030724109024669E-2"/>
          <c:w val="0.72382027255906856"/>
          <c:h val="0.75999207931706569"/>
        </c:manualLayout>
      </c:layout>
      <c:lineChart>
        <c:grouping val="standard"/>
        <c:varyColors val="0"/>
        <c:ser>
          <c:idx val="0"/>
          <c:order val="0"/>
          <c:tx>
            <c:strRef>
              <c:f>'pvt tables &amp; KPIs'!$B$53:$B$54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'pvt tables &amp; KPIs'!$A$55:$A$56</c:f>
              <c:strCache>
                <c:ptCount val="1"/>
                <c:pt idx="0">
                  <c:v>Central</c:v>
                </c:pt>
              </c:strCache>
            </c:strRef>
          </c:cat>
          <c:val>
            <c:numRef>
              <c:f>'pvt tables &amp; KPIs'!$B$55:$B$56</c:f>
              <c:numCache>
                <c:formatCode>General</c:formatCode>
                <c:ptCount val="1"/>
                <c:pt idx="0">
                  <c:v>3</c:v>
                </c:pt>
              </c:numCache>
            </c:numRef>
          </c:val>
          <c:smooth val="0"/>
          <c:extLst>
            <c:ext xmlns:c16="http://schemas.microsoft.com/office/drawing/2014/chart" uri="{C3380CC4-5D6E-409C-BE32-E72D297353CC}">
              <c16:uniqueId val="{00000000-C41A-4831-9F59-1E0201D7A31B}"/>
            </c:ext>
          </c:extLst>
        </c:ser>
        <c:ser>
          <c:idx val="1"/>
          <c:order val="1"/>
          <c:tx>
            <c:strRef>
              <c:f>'pvt tables &amp; KPIs'!$C$53:$C$54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'pvt tables &amp; KPIs'!$A$55:$A$56</c:f>
              <c:strCache>
                <c:ptCount val="1"/>
                <c:pt idx="0">
                  <c:v>Central</c:v>
                </c:pt>
              </c:strCache>
            </c:strRef>
          </c:cat>
          <c:val>
            <c:numRef>
              <c:f>'pvt tables &amp; KPIs'!$C$55:$C$56</c:f>
              <c:numCache>
                <c:formatCode>General</c:formatCode>
                <c:ptCount val="1"/>
                <c:pt idx="0">
                  <c:v>2</c:v>
                </c:pt>
              </c:numCache>
            </c:numRef>
          </c:val>
          <c:smooth val="0"/>
          <c:extLst>
            <c:ext xmlns:c16="http://schemas.microsoft.com/office/drawing/2014/chart" uri="{C3380CC4-5D6E-409C-BE32-E72D297353CC}">
              <c16:uniqueId val="{00000006-08C0-40E0-80AA-E99945D0A891}"/>
            </c:ext>
          </c:extLst>
        </c:ser>
        <c:dLbls>
          <c:showLegendKey val="0"/>
          <c:showVal val="0"/>
          <c:showCatName val="0"/>
          <c:showSerName val="0"/>
          <c:showPercent val="0"/>
          <c:showBubbleSize val="0"/>
        </c:dLbls>
        <c:marker val="1"/>
        <c:smooth val="0"/>
        <c:axId val="617296751"/>
        <c:axId val="617298415"/>
      </c:lineChart>
      <c:catAx>
        <c:axId val="61729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17298415"/>
        <c:crosses val="autoZero"/>
        <c:auto val="1"/>
        <c:lblAlgn val="ctr"/>
        <c:lblOffset val="100"/>
        <c:noMultiLvlLbl val="0"/>
      </c:catAx>
      <c:valAx>
        <c:axId val="617298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729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84000">
          <a:schemeClr val="accent1">
            <a:lumMod val="20000"/>
            <a:lumOff val="80000"/>
          </a:schemeClr>
        </a:gs>
        <a:gs pos="19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sales.xlsx]pvt tables &amp; KPIs!PivotTable8</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solidFill>
                  <a:schemeClr val="tx1"/>
                </a:solidFill>
              </a:rPr>
              <a:t>Delivery</a:t>
            </a:r>
            <a:r>
              <a:rPr lang="en-GB" b="1" baseline="0">
                <a:solidFill>
                  <a:schemeClr val="tx1"/>
                </a:solidFill>
              </a:rPr>
              <a:t> Status</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'pvt tables &amp; KPIs'!$B$20</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B1FB-4EE0-A260-D32EE160F04C}"/>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B1FB-4EE0-A260-D32EE160F04C}"/>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B1FB-4EE0-A260-D32EE160F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tables &amp; KPIs'!$A$21:$A$23</c:f>
              <c:strCache>
                <c:ptCount val="2"/>
                <c:pt idx="0">
                  <c:v>Cancelled</c:v>
                </c:pt>
                <c:pt idx="1">
                  <c:v>In Transit</c:v>
                </c:pt>
              </c:strCache>
            </c:strRef>
          </c:cat>
          <c:val>
            <c:numRef>
              <c:f>'pvt tables &amp; KPIs'!$B$21:$B$23</c:f>
              <c:numCache>
                <c:formatCode>General</c:formatCode>
                <c:ptCount val="2"/>
                <c:pt idx="0">
                  <c:v>2</c:v>
                </c:pt>
                <c:pt idx="1">
                  <c:v>3</c:v>
                </c:pt>
              </c:numCache>
            </c:numRef>
          </c:val>
          <c:extLst>
            <c:ext xmlns:c16="http://schemas.microsoft.com/office/drawing/2014/chart" uri="{C3380CC4-5D6E-409C-BE32-E72D297353CC}">
              <c16:uniqueId val="{00000006-B1FB-4EE0-A260-D32EE160F04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84000">
          <a:schemeClr val="accent1">
            <a:lumMod val="20000"/>
            <a:lumOff val="80000"/>
          </a:schemeClr>
        </a:gs>
        <a:gs pos="19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[Workforce &amp; sales.xlsx]pvt tables &amp; KPIs!PivotTable11</c:name>
    <c:fmtId val="2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Average</a:t>
            </a:r>
            <a:r>
              <a:rPr lang="en-US" b="1" baseline="0"/>
              <a:t> Delivery Time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'pvt tables &amp; KPIs'!$C$35</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tables &amp; KPIs'!$B$36:$B$37</c:f>
              <c:strCache>
                <c:ptCount val="1"/>
                <c:pt idx="0">
                  <c:v>Central</c:v>
                </c:pt>
              </c:strCache>
            </c:strRef>
          </c:cat>
          <c:val>
            <c:numRef>
              <c:f>'pvt tables &amp; KPIs'!$C$36:$C$37</c:f>
              <c:numCache>
                <c:formatCode>General</c:formatCode>
                <c:ptCount val="1"/>
                <c:pt idx="0">
                  <c:v>5</c:v>
                </c:pt>
              </c:numCache>
            </c:numRef>
          </c:val>
          <c:extLst>
            <c:ext xmlns:c16="http://schemas.microsoft.com/office/drawing/2014/chart" uri="{C3380CC4-5D6E-409C-BE32-E72D297353CC}">
              <c16:uniqueId val="{00000000-8946-4CC7-ABDB-9AE30B104709}"/>
            </c:ext>
          </c:extLst>
        </c:ser>
        <c:dLbls>
          <c:showLegendKey val="0"/>
          <c:showVal val="1"/>
          <c:showCatName val="0"/>
          <c:showSerName val="0"/>
          <c:showPercent val="0"/>
          <c:showBubbleSize val="0"/>
        </c:dLbls>
        <c:gapWidth val="150"/>
        <c:shape val="box"/>
        <c:axId val="1664898352"/>
        <c:axId val="1664898768"/>
        <c:axId val="0"/>
      </c:bar3DChart>
      <c:catAx>
        <c:axId val="1664898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664898768"/>
        <c:crosses val="autoZero"/>
        <c:auto val="1"/>
        <c:lblAlgn val="ctr"/>
        <c:lblOffset val="100"/>
        <c:noMultiLvlLbl val="0"/>
      </c:catAx>
      <c:valAx>
        <c:axId val="166489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489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84000">
          <a:schemeClr val="accent1">
            <a:lumMod val="20000"/>
            <a:lumOff val="80000"/>
          </a:schemeClr>
        </a:gs>
        <a:gs pos="19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&amp; sales.xlsx]pvt tables &amp; KPIs!PivotTable10</c:name>
    <c:fmtId val="2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'pvt tables &amp; KPIs'!$B$119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tables &amp; KPIs'!$A$120:$A$124</c:f>
              <c:strCache>
                <c:ptCount val="4"/>
                <c:pt idx="0">
                  <c:v>Jun</c:v>
                </c:pt>
                <c:pt idx="1">
                  <c:v>Jul</c:v>
                </c:pt>
                <c:pt idx="2">
                  <c:v>Aug</c:v>
                </c:pt>
                <c:pt idx="3">
                  <c:v>Oct</c:v>
                </c:pt>
              </c:strCache>
            </c:strRef>
          </c:cat>
          <c:val>
            <c:numRef>
              <c:f>'pvt tables &amp; KPIs'!$B$120:$B$124</c:f>
              <c:numCache>
                <c:formatCode>General</c:formatCode>
                <c:ptCount val="4"/>
                <c:pt idx="0">
                  <c:v>685</c:v>
                </c:pt>
                <c:pt idx="1">
                  <c:v>829</c:v>
                </c:pt>
                <c:pt idx="2">
                  <c:v>315</c:v>
                </c:pt>
                <c:pt idx="3">
                  <c:v>291</c:v>
                </c:pt>
              </c:numCache>
            </c:numRef>
          </c:val>
          <c:smooth val="0"/>
          <c:extLst>
            <c:ext xmlns:c16="http://schemas.microsoft.com/office/drawing/2014/chart" uri="{C3380CC4-5D6E-409C-BE32-E72D297353CC}">
              <c16:uniqueId val="{00000000-C73B-42A4-A4C5-0BA74115D1D5}"/>
            </c:ext>
          </c:extLst>
        </c:ser>
        <c:dLbls>
          <c:dLblPos val="t"/>
          <c:showLegendKey val="0"/>
          <c:showVal val="1"/>
          <c:showCatName val="0"/>
          <c:showSerName val="0"/>
          <c:showPercent val="0"/>
          <c:showBubbleSize val="0"/>
        </c:dLbls>
        <c:marker val="1"/>
        <c:smooth val="0"/>
        <c:axId val="193702656"/>
        <c:axId val="193703072"/>
      </c:lineChart>
      <c:catAx>
        <c:axId val="19370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3703072"/>
        <c:crosses val="autoZero"/>
        <c:auto val="1"/>
        <c:lblAlgn val="ctr"/>
        <c:lblOffset val="100"/>
        <c:noMultiLvlLbl val="0"/>
      </c:catAx>
      <c:valAx>
        <c:axId val="193703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370265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84000">
          <a:schemeClr val="accent1">
            <a:lumMod val="20000"/>
            <a:lumOff val="80000"/>
          </a:schemeClr>
        </a:gs>
        <a:gs pos="19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none" strike="noStrike" kern="1200" cap="all" spc="120" normalizeH="0" baseline="0">
                <a:solidFill>
                  <a:schemeClr val="tx1">
                    <a:lumMod val="65000"/>
                    <a:lumOff val="35000"/>
                  </a:schemeClr>
                </a:solidFill>
                <a:latin typeface="+mn-lt"/>
                <a:ea typeface="+mn-ea"/>
                <a:cs typeface="+mn-cs"/>
              </a:defRPr>
            </a:pPr>
            <a:r>
              <a:rPr lang="en-GB" sz="1600" b="0" i="1" u="none" strike="noStrike" cap="all" normalizeH="0" baseline="0">
                <a:effectLst/>
              </a:rPr>
              <a:t>high-performing regions</a:t>
            </a:r>
            <a:endParaRPr lang="en-GB" i="1"/>
          </a:p>
        </c:rich>
      </c:tx>
      <c:overlay val="0"/>
      <c:spPr>
        <a:noFill/>
        <a:ln>
          <a:noFill/>
        </a:ln>
        <a:effectLst/>
      </c:spPr>
      <c:txPr>
        <a:bodyPr rot="0" spcFirstLastPara="1" vertOverflow="ellipsis" vert="horz" wrap="square" anchor="ctr" anchorCtr="1"/>
        <a:lstStyle/>
        <a:p>
          <a:pPr>
            <a:defRPr sz="1600" b="1" i="1"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1"/>
          <c:tx>
            <c:strRef>
              <c:f>'5.2'!$C$13</c:f>
              <c:strCache>
                <c:ptCount val="1"/>
                <c:pt idx="0">
                  <c:v>High</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'5.2'!$A$14:$A$19</c15:sqref>
                  </c15:fullRef>
                </c:ext>
              </c:extLst>
              <c:f>'5.2'!$A$14:$A$18</c:f>
              <c:strCache>
                <c:ptCount val="5"/>
                <c:pt idx="0">
                  <c:v>Central</c:v>
                </c:pt>
                <c:pt idx="1">
                  <c:v>East</c:v>
                </c:pt>
                <c:pt idx="2">
                  <c:v>North</c:v>
                </c:pt>
                <c:pt idx="3">
                  <c:v>South</c:v>
                </c:pt>
                <c:pt idx="4">
                  <c:v>West</c:v>
                </c:pt>
              </c:strCache>
            </c:strRef>
          </c:cat>
          <c:val>
            <c:numRef>
              <c:extLst>
                <c:ext xmlns:c15="http://schemas.microsoft.com/office/drawing/2012/chart" uri="{02D57815-91ED-43cb-92C2-25804820EDAC}">
                  <c15:fullRef>
                    <c15:sqref>'5.2'!$C$14:$C$19</c15:sqref>
                  </c15:fullRef>
                </c:ext>
              </c:extLst>
              <c:f>'5.2'!$C$14:$C$18</c:f>
              <c:numCache>
                <c:formatCode>General</c:formatCode>
                <c:ptCount val="5"/>
                <c:pt idx="0">
                  <c:v>#N/A</c:v>
                </c:pt>
                <c:pt idx="1">
                  <c:v>#N/A</c:v>
                </c:pt>
                <c:pt idx="2">
                  <c:v>10491</c:v>
                </c:pt>
                <c:pt idx="3">
                  <c:v>7317</c:v>
                </c:pt>
                <c:pt idx="4">
                  <c:v>8359</c:v>
                </c:pt>
              </c:numCache>
            </c:numRef>
          </c:val>
          <c:extLst>
            <c:ext xmlns:c16="http://schemas.microsoft.com/office/drawing/2014/chart" uri="{C3380CC4-5D6E-409C-BE32-E72D297353CC}">
              <c16:uniqueId val="{00000001-A16D-49C4-9EE8-1F5357B9FBD9}"/>
            </c:ext>
          </c:extLst>
        </c:ser>
        <c:ser>
          <c:idx val="2"/>
          <c:order val="2"/>
          <c:tx>
            <c:strRef>
              <c:f>'5.2'!$D$13</c:f>
              <c:strCache>
                <c:ptCount val="1"/>
                <c:pt idx="0">
                  <c:v>Low</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'5.2'!$A$14:$A$19</c15:sqref>
                  </c15:fullRef>
                </c:ext>
              </c:extLst>
              <c:f>'5.2'!$A$14:$A$18</c:f>
              <c:strCache>
                <c:ptCount val="5"/>
                <c:pt idx="0">
                  <c:v>Central</c:v>
                </c:pt>
                <c:pt idx="1">
                  <c:v>East</c:v>
                </c:pt>
                <c:pt idx="2">
                  <c:v>North</c:v>
                </c:pt>
                <c:pt idx="3">
                  <c:v>South</c:v>
                </c:pt>
                <c:pt idx="4">
                  <c:v>West</c:v>
                </c:pt>
              </c:strCache>
            </c:strRef>
          </c:cat>
          <c:val>
            <c:numRef>
              <c:extLst>
                <c:ext xmlns:c15="http://schemas.microsoft.com/office/drawing/2012/chart" uri="{02D57815-91ED-43cb-92C2-25804820EDAC}">
                  <c15:fullRef>
                    <c15:sqref>'5.2'!$D$14:$D$19</c15:sqref>
                  </c15:fullRef>
                </c:ext>
              </c:extLst>
              <c:f>'5.2'!$D$14:$D$18</c:f>
              <c:numCache>
                <c:formatCode>General</c:formatCode>
                <c:ptCount val="5"/>
                <c:pt idx="0">
                  <c:v>5456</c:v>
                </c:pt>
                <c:pt idx="1">
                  <c:v>3635</c:v>
                </c:pt>
                <c:pt idx="2">
                  <c:v>#N/A</c:v>
                </c:pt>
                <c:pt idx="3">
                  <c:v>#N/A</c:v>
                </c:pt>
                <c:pt idx="4">
                  <c:v>#N/A</c:v>
                </c:pt>
              </c:numCache>
            </c:numRef>
          </c:val>
          <c:extLst>
            <c:ext xmlns:c16="http://schemas.microsoft.com/office/drawing/2014/chart" uri="{C3380CC4-5D6E-409C-BE32-E72D297353CC}">
              <c16:uniqueId val="{00000002-A16D-49C4-9EE8-1F5357B9FBD9}"/>
            </c:ext>
          </c:extLst>
        </c:ser>
        <c:dLbls>
          <c:showLegendKey val="0"/>
          <c:showVal val="1"/>
          <c:showCatName val="0"/>
          <c:showSerName val="0"/>
          <c:showPercent val="0"/>
          <c:showBubbleSize val="0"/>
        </c:dLbls>
        <c:gapWidth val="79"/>
        <c:shape val="box"/>
        <c:axId val="16739951"/>
        <c:axId val="16738511"/>
        <c:axId val="0"/>
        <c:extLst>
          <c:ext xmlns:c15="http://schemas.microsoft.com/office/drawing/2012/chart" uri="{02D57815-91ED-43cb-92C2-25804820EDAC}">
            <c15:filteredBarSeries>
              <c15:ser>
                <c:idx val="0"/>
                <c:order val="0"/>
                <c:tx>
                  <c:strRef>
                    <c:extLst>
                      <c:ext uri="{02D57815-91ED-43cb-92C2-25804820EDAC}">
                        <c15:formulaRef>
                          <c15:sqref>'5.2'!$B$13</c15:sqref>
                        </c15:formulaRef>
                      </c:ext>
                    </c:extLst>
                    <c:strCache>
                      <c:ptCount val="1"/>
                      <c:pt idx="0">
                        <c:v>Sum of Total Amount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ullRef>
                          <c15:sqref>'5.2'!$A$14:$A$19</c15:sqref>
                        </c15:fullRef>
                        <c15:formulaRef>
                          <c15:sqref>'5.2'!$A$14:$A$18</c15:sqref>
                        </c15:formulaRef>
                      </c:ext>
                    </c:extLst>
                    <c:strCache>
                      <c:ptCount val="5"/>
                      <c:pt idx="0">
                        <c:v>Central</c:v>
                      </c:pt>
                      <c:pt idx="1">
                        <c:v>East</c:v>
                      </c:pt>
                      <c:pt idx="2">
                        <c:v>North</c:v>
                      </c:pt>
                      <c:pt idx="3">
                        <c:v>South</c:v>
                      </c:pt>
                      <c:pt idx="4">
                        <c:v>West</c:v>
                      </c:pt>
                    </c:strCache>
                  </c:strRef>
                </c:cat>
                <c:val>
                  <c:numRef>
                    <c:extLst>
                      <c:ext uri="{02D57815-91ED-43cb-92C2-25804820EDAC}">
                        <c15:fullRef>
                          <c15:sqref>'5.2'!$B$14:$B$19</c15:sqref>
                        </c15:fullRef>
                        <c15:formulaRef>
                          <c15:sqref>'5.2'!$B$14:$B$18</c15:sqref>
                        </c15:formulaRef>
                      </c:ext>
                    </c:extLst>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A16D-49C4-9EE8-1F5357B9FBD9}"/>
                  </c:ext>
                </c:extLst>
              </c15:ser>
            </c15:filteredBarSeries>
          </c:ext>
        </c:extLst>
      </c:bar3DChart>
      <c:catAx>
        <c:axId val="1673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738511"/>
        <c:crosses val="autoZero"/>
        <c:auto val="1"/>
        <c:lblAlgn val="ctr"/>
        <c:lblOffset val="100"/>
        <c:noMultiLvlLbl val="0"/>
      </c:catAx>
      <c:valAx>
        <c:axId val="16738511"/>
        <c:scaling>
          <c:orientation val="minMax"/>
        </c:scaling>
        <c:delete val="1"/>
        <c:axPos val="l"/>
        <c:numFmt formatCode="General" sourceLinked="1"/>
        <c:majorTickMark val="none"/>
        <c:minorTickMark val="none"/>
        <c:tickLblPos val="nextTo"/>
        <c:crossAx val="1673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11502</xdr:colOff>
      <xdr:row>0</xdr:row>
      <xdr:rowOff>0</xdr:rowOff>
    </xdr:from>
    <xdr:to>
      <xdr:col>31</xdr:col>
      <xdr:colOff>172528</xdr:colOff>
      <xdr:row>42</xdr:row>
      <xdr:rowOff>126520</xdr:rowOff>
    </xdr:to>
    <xdr:sp macro="" textlink="">
      <xdr:nvSpPr>
        <xdr:cNvPr id="5" name="Rectangle 4">
          <a:extLst>
            <a:ext uri="{FF2B5EF4-FFF2-40B4-BE49-F238E27FC236}">
              <a16:creationId xmlns:a16="http://schemas.microsoft.com/office/drawing/2014/main" id="{32939938-F4FA-48C9-8D2A-97ECB8EC5A81}"/>
            </a:ext>
          </a:extLst>
        </xdr:cNvPr>
        <xdr:cNvSpPr/>
      </xdr:nvSpPr>
      <xdr:spPr>
        <a:xfrm>
          <a:off x="1724462" y="0"/>
          <a:ext cx="17413856" cy="7890294"/>
        </a:xfrm>
        <a:prstGeom prst="rect">
          <a:avLst/>
        </a:prstGeom>
        <a:solidFill>
          <a:schemeClr val="accent6">
            <a:lumMod val="60000"/>
            <a:lumOff val="40000"/>
          </a:schemeClr>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3</xdr:col>
      <xdr:colOff>24646</xdr:colOff>
      <xdr:row>42</xdr:row>
      <xdr:rowOff>126520</xdr:rowOff>
    </xdr:to>
    <xdr:sp macro="" textlink="'pvt tables &amp; KPIs'!D86:D88">
      <xdr:nvSpPr>
        <xdr:cNvPr id="4" name="Rectangle 3">
          <a:extLst>
            <a:ext uri="{FF2B5EF4-FFF2-40B4-BE49-F238E27FC236}">
              <a16:creationId xmlns:a16="http://schemas.microsoft.com/office/drawing/2014/main" id="{63583693-76B3-47C1-97AC-6EA4BDF02BFB}"/>
            </a:ext>
          </a:extLst>
        </xdr:cNvPr>
        <xdr:cNvSpPr/>
      </xdr:nvSpPr>
      <xdr:spPr>
        <a:xfrm>
          <a:off x="0" y="0"/>
          <a:ext cx="1737606" cy="7890294"/>
        </a:xfrm>
        <a:prstGeom prst="rect">
          <a:avLst/>
        </a:prstGeom>
        <a:solidFill>
          <a:schemeClr val="accent6">
            <a:lumMod val="50000"/>
          </a:schemeClr>
        </a:solidFill>
        <a:ln>
          <a:solidFill>
            <a:schemeClr val="accent6"/>
          </a:solidFill>
        </a:ln>
        <a:effectLst>
          <a:outerShdw blurRad="50800" dist="38100" dir="2700000" algn="tl"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solidFill>
              <a:schemeClr val="accent6">
                <a:lumMod val="50000"/>
              </a:schemeClr>
            </a:solidFill>
            <a:latin typeface="Aptos display"/>
          </a:endParaRPr>
        </a:p>
      </xdr:txBody>
    </xdr:sp>
    <xdr:clientData/>
  </xdr:twoCellAnchor>
  <xdr:twoCellAnchor>
    <xdr:from>
      <xdr:col>0</xdr:col>
      <xdr:colOff>127031</xdr:colOff>
      <xdr:row>6</xdr:row>
      <xdr:rowOff>108178</xdr:rowOff>
    </xdr:from>
    <xdr:to>
      <xdr:col>1</xdr:col>
      <xdr:colOff>591526</xdr:colOff>
      <xdr:row>8</xdr:row>
      <xdr:rowOff>110911</xdr:rowOff>
    </xdr:to>
    <xdr:sp macro="" textlink="'pvt tables &amp; KPIs'!C78">
      <xdr:nvSpPr>
        <xdr:cNvPr id="6" name="Rectangle 5">
          <a:extLst>
            <a:ext uri="{FF2B5EF4-FFF2-40B4-BE49-F238E27FC236}">
              <a16:creationId xmlns:a16="http://schemas.microsoft.com/office/drawing/2014/main" id="{7419661A-6932-40CB-A0F4-23B99DE9F71F}"/>
            </a:ext>
          </a:extLst>
        </xdr:cNvPr>
        <xdr:cNvSpPr/>
      </xdr:nvSpPr>
      <xdr:spPr>
        <a:xfrm>
          <a:off x="127031" y="1217288"/>
          <a:ext cx="834198" cy="372437"/>
        </a:xfrm>
        <a:prstGeom prst="rect">
          <a:avLst/>
        </a:prstGeom>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2700000" scaled="1"/>
          <a:tileRect/>
        </a:gradFill>
        <a:effectLst>
          <a:outerShdw blurRad="50800" dist="88900" dir="5400000" algn="ctr" rotWithShape="0">
            <a:schemeClr val="accent6">
              <a:lumMod val="50000"/>
            </a:schemeClr>
          </a:outerShdw>
          <a:softEdge rad="6731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746530C8-C522-4DCA-BBE4-124C48445EEE}" type="TxLink">
            <a:rPr lang="en-US" sz="1600" b="1" i="0" u="none" strike="noStrike">
              <a:gradFill>
                <a:gsLst>
                  <a:gs pos="27000">
                    <a:schemeClr val="accent4">
                      <a:lumMod val="40000"/>
                      <a:lumOff val="60000"/>
                    </a:schemeClr>
                  </a:gs>
                  <a:gs pos="84000">
                    <a:schemeClr val="accent4">
                      <a:lumMod val="50000"/>
                    </a:schemeClr>
                  </a:gs>
                  <a:gs pos="62000">
                    <a:schemeClr val="accent4">
                      <a:lumMod val="75000"/>
                    </a:schemeClr>
                  </a:gs>
                </a:gsLst>
                <a:lin ang="5400000" scaled="1"/>
              </a:gradFill>
              <a:latin typeface="Aptos display"/>
              <a:ea typeface="Calibri"/>
              <a:cs typeface="Calibri"/>
            </a:rPr>
            <a:pPr marL="0" indent="0" algn="l"/>
            <a:t>2,120</a:t>
          </a:fld>
          <a:endParaRPr lang="en-US" sz="1600" b="1" i="0" u="none" strike="noStrike">
            <a:gradFill>
              <a:gsLst>
                <a:gs pos="27000">
                  <a:schemeClr val="accent4">
                    <a:lumMod val="40000"/>
                    <a:lumOff val="60000"/>
                  </a:schemeClr>
                </a:gs>
                <a:gs pos="84000">
                  <a:schemeClr val="accent4">
                    <a:lumMod val="50000"/>
                  </a:schemeClr>
                </a:gs>
                <a:gs pos="62000">
                  <a:schemeClr val="accent4">
                    <a:lumMod val="75000"/>
                  </a:schemeClr>
                </a:gs>
              </a:gsLst>
              <a:lin ang="5400000" scaled="1"/>
            </a:gradFill>
            <a:latin typeface="Aptos display"/>
            <a:ea typeface="Calibri"/>
            <a:cs typeface="Calibri"/>
          </a:endParaRPr>
        </a:p>
      </xdr:txBody>
    </xdr:sp>
    <xdr:clientData/>
  </xdr:twoCellAnchor>
  <xdr:twoCellAnchor>
    <xdr:from>
      <xdr:col>0</xdr:col>
      <xdr:colOff>114707</xdr:colOff>
      <xdr:row>10</xdr:row>
      <xdr:rowOff>105911</xdr:rowOff>
    </xdr:from>
    <xdr:to>
      <xdr:col>1</xdr:col>
      <xdr:colOff>612065</xdr:colOff>
      <xdr:row>12</xdr:row>
      <xdr:rowOff>32042</xdr:rowOff>
    </xdr:to>
    <xdr:sp macro="" textlink="'pvt tables &amp; KPIs'!D86:D88">
      <xdr:nvSpPr>
        <xdr:cNvPr id="7" name="Rectangle 6">
          <a:extLst>
            <a:ext uri="{FF2B5EF4-FFF2-40B4-BE49-F238E27FC236}">
              <a16:creationId xmlns:a16="http://schemas.microsoft.com/office/drawing/2014/main" id="{5F8B380F-D46A-4861-B37C-7177B8A0D647}"/>
            </a:ext>
          </a:extLst>
        </xdr:cNvPr>
        <xdr:cNvSpPr/>
      </xdr:nvSpPr>
      <xdr:spPr>
        <a:xfrm>
          <a:off x="114707" y="1954428"/>
          <a:ext cx="867061" cy="295835"/>
        </a:xfrm>
        <a:prstGeom prst="rect">
          <a:avLst/>
        </a:prstGeom>
        <a:noFill/>
        <a:effectLst>
          <a:outerShdw blurRad="50800" dist="88900" dir="5400000" algn="ctr" rotWithShape="0">
            <a:schemeClr val="accent6">
              <a:lumMod val="50000"/>
            </a:schemeClr>
          </a:outerShdw>
          <a:softEdge rad="6731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0B801169-E1FE-4522-A4CD-2A0A10ECDA6E}" type="TxLink">
            <a:rPr lang="en-US" sz="1600" b="1" i="0" u="none" strike="noStrike">
              <a:gradFill>
                <a:gsLst>
                  <a:gs pos="0">
                    <a:schemeClr val="accent1">
                      <a:lumMod val="50000"/>
                    </a:schemeClr>
                  </a:gs>
                  <a:gs pos="63000">
                    <a:schemeClr val="accent1">
                      <a:lumMod val="60000"/>
                      <a:lumOff val="40000"/>
                    </a:schemeClr>
                  </a:gs>
                  <a:gs pos="27279">
                    <a:schemeClr val="accent1">
                      <a:lumMod val="75000"/>
                    </a:schemeClr>
                  </a:gs>
                </a:gsLst>
                <a:lin ang="5400000" scaled="1"/>
              </a:gradFill>
              <a:latin typeface="Aptos display"/>
              <a:ea typeface="Calibri"/>
              <a:cs typeface="Calibri"/>
            </a:rPr>
            <a:pPr marL="0" indent="0" algn="l"/>
            <a:t>Central</a:t>
          </a:fld>
          <a:endParaRPr lang="en-US" sz="1600" b="1" i="0" u="none" strike="noStrike">
            <a:gradFill>
              <a:gsLst>
                <a:gs pos="0">
                  <a:schemeClr val="accent1">
                    <a:lumMod val="50000"/>
                  </a:schemeClr>
                </a:gs>
                <a:gs pos="63000">
                  <a:schemeClr val="accent1">
                    <a:lumMod val="60000"/>
                    <a:lumOff val="40000"/>
                  </a:schemeClr>
                </a:gs>
                <a:gs pos="27279">
                  <a:schemeClr val="accent1">
                    <a:lumMod val="75000"/>
                  </a:schemeClr>
                </a:gs>
              </a:gsLst>
              <a:lin ang="5400000" scaled="1"/>
            </a:gradFill>
            <a:latin typeface="Aptos display"/>
            <a:ea typeface="Calibri"/>
            <a:cs typeface="Calibri"/>
          </a:endParaRPr>
        </a:p>
      </xdr:txBody>
    </xdr:sp>
    <xdr:clientData/>
  </xdr:twoCellAnchor>
  <xdr:twoCellAnchor>
    <xdr:from>
      <xdr:col>0</xdr:col>
      <xdr:colOff>100741</xdr:colOff>
      <xdr:row>14</xdr:row>
      <xdr:rowOff>125315</xdr:rowOff>
    </xdr:from>
    <xdr:to>
      <xdr:col>1</xdr:col>
      <xdr:colOff>487442</xdr:colOff>
      <xdr:row>16</xdr:row>
      <xdr:rowOff>18894</xdr:rowOff>
    </xdr:to>
    <xdr:sp macro="" textlink="'pvt tables &amp; KPIs'!I99">
      <xdr:nvSpPr>
        <xdr:cNvPr id="8" name="Rectangle 7">
          <a:extLst>
            <a:ext uri="{FF2B5EF4-FFF2-40B4-BE49-F238E27FC236}">
              <a16:creationId xmlns:a16="http://schemas.microsoft.com/office/drawing/2014/main" id="{316F9456-23D4-43C3-A2CE-D6DAE021E3C7}"/>
            </a:ext>
          </a:extLst>
        </xdr:cNvPr>
        <xdr:cNvSpPr/>
      </xdr:nvSpPr>
      <xdr:spPr>
        <a:xfrm>
          <a:off x="100741" y="2713239"/>
          <a:ext cx="756404" cy="263284"/>
        </a:xfrm>
        <a:prstGeom prst="rect">
          <a:avLst/>
        </a:prstGeom>
        <a:noFill/>
        <a:effectLst>
          <a:outerShdw blurRad="50800" dist="88900" dir="5400000" algn="ctr" rotWithShape="0">
            <a:schemeClr val="accent6">
              <a:lumMod val="50000"/>
            </a:schemeClr>
          </a:outerShdw>
          <a:softEdge rad="6731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A7E45D8B-4802-4074-8EF2-58CCECD0D190}" type="TxLink">
            <a:rPr lang="en-US" sz="1600" b="1" i="0" u="none" strike="noStrike">
              <a:gradFill>
                <a:gsLst>
                  <a:gs pos="0">
                    <a:schemeClr val="accent1">
                      <a:lumMod val="50000"/>
                    </a:schemeClr>
                  </a:gs>
                  <a:gs pos="63000">
                    <a:schemeClr val="accent1">
                      <a:lumMod val="60000"/>
                      <a:lumOff val="40000"/>
                    </a:schemeClr>
                  </a:gs>
                  <a:gs pos="27279">
                    <a:schemeClr val="accent1">
                      <a:lumMod val="75000"/>
                    </a:schemeClr>
                  </a:gs>
                </a:gsLst>
                <a:lin ang="5400000" scaled="1"/>
              </a:gradFill>
              <a:latin typeface="Aptos display"/>
              <a:ea typeface="Calibri"/>
              <a:cs typeface="Calibri"/>
            </a:rPr>
            <a:pPr marL="0" indent="0" algn="l"/>
            <a:t>100.00%</a:t>
          </a:fld>
          <a:endParaRPr lang="en-US" sz="1600" b="1" i="0" u="none" strike="noStrike">
            <a:gradFill>
              <a:gsLst>
                <a:gs pos="0">
                  <a:schemeClr val="accent1">
                    <a:lumMod val="50000"/>
                  </a:schemeClr>
                </a:gs>
                <a:gs pos="63000">
                  <a:schemeClr val="accent1">
                    <a:lumMod val="60000"/>
                    <a:lumOff val="40000"/>
                  </a:schemeClr>
                </a:gs>
                <a:gs pos="27279">
                  <a:schemeClr val="accent1">
                    <a:lumMod val="75000"/>
                  </a:schemeClr>
                </a:gs>
              </a:gsLst>
              <a:lin ang="5400000" scaled="1"/>
            </a:gradFill>
            <a:latin typeface="Aptos display"/>
            <a:ea typeface="Calibri"/>
            <a:cs typeface="Calibri"/>
          </a:endParaRPr>
        </a:p>
      </xdr:txBody>
    </xdr:sp>
    <xdr:clientData/>
  </xdr:twoCellAnchor>
  <xdr:twoCellAnchor>
    <xdr:from>
      <xdr:col>0</xdr:col>
      <xdr:colOff>72486</xdr:colOff>
      <xdr:row>18</xdr:row>
      <xdr:rowOff>170886</xdr:rowOff>
    </xdr:from>
    <xdr:to>
      <xdr:col>1</xdr:col>
      <xdr:colOff>790344</xdr:colOff>
      <xdr:row>20</xdr:row>
      <xdr:rowOff>147880</xdr:rowOff>
    </xdr:to>
    <xdr:sp macro="" textlink="'pvt tables &amp; KPIs'!D107:D108">
      <xdr:nvSpPr>
        <xdr:cNvPr id="9" name="Rectangle 8">
          <a:extLst>
            <a:ext uri="{FF2B5EF4-FFF2-40B4-BE49-F238E27FC236}">
              <a16:creationId xmlns:a16="http://schemas.microsoft.com/office/drawing/2014/main" id="{61A33691-A151-422C-8C30-2E09A332BA4E}"/>
            </a:ext>
          </a:extLst>
        </xdr:cNvPr>
        <xdr:cNvSpPr/>
      </xdr:nvSpPr>
      <xdr:spPr>
        <a:xfrm>
          <a:off x="72486" y="3498217"/>
          <a:ext cx="1087561" cy="346699"/>
        </a:xfrm>
        <a:prstGeom prst="rect">
          <a:avLst/>
        </a:prstGeom>
        <a:noFill/>
        <a:effectLst>
          <a:outerShdw blurRad="50800" dist="88900" dir="5400000" algn="ctr" rotWithShape="0">
            <a:schemeClr val="accent6">
              <a:lumMod val="50000"/>
            </a:schemeClr>
          </a:outerShdw>
          <a:softEdge rad="6731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160FDD13-2D56-4418-B8E7-B226355DD71C}" type="TxLink">
            <a:rPr lang="en-US" sz="1600" b="1" i="0" u="none" strike="noStrike">
              <a:gradFill>
                <a:gsLst>
                  <a:gs pos="0">
                    <a:schemeClr val="accent1">
                      <a:lumMod val="50000"/>
                    </a:schemeClr>
                  </a:gs>
                  <a:gs pos="63000">
                    <a:schemeClr val="accent1">
                      <a:lumMod val="60000"/>
                      <a:lumOff val="40000"/>
                    </a:schemeClr>
                  </a:gs>
                  <a:gs pos="27279">
                    <a:schemeClr val="accent1">
                      <a:lumMod val="75000"/>
                    </a:schemeClr>
                  </a:gs>
                </a:gsLst>
                <a:lin ang="5400000" scaled="1"/>
              </a:gradFill>
              <a:latin typeface="Aptos display"/>
              <a:ea typeface="Calibri"/>
              <a:cs typeface="Calibri"/>
            </a:rPr>
            <a:pPr marL="0" indent="0" algn="l"/>
            <a:t>Bluetooth Speaker</a:t>
          </a:fld>
          <a:endParaRPr lang="en-US" sz="1600" b="1" i="0" u="none" strike="noStrike">
            <a:gradFill>
              <a:gsLst>
                <a:gs pos="0">
                  <a:schemeClr val="accent1">
                    <a:lumMod val="50000"/>
                  </a:schemeClr>
                </a:gs>
                <a:gs pos="63000">
                  <a:schemeClr val="accent1">
                    <a:lumMod val="60000"/>
                    <a:lumOff val="40000"/>
                  </a:schemeClr>
                </a:gs>
                <a:gs pos="27279">
                  <a:schemeClr val="accent1">
                    <a:lumMod val="75000"/>
                  </a:schemeClr>
                </a:gs>
              </a:gsLst>
              <a:lin ang="5400000" scaled="1"/>
            </a:gradFill>
            <a:latin typeface="Aptos display"/>
            <a:ea typeface="Calibri"/>
            <a:cs typeface="Calibri"/>
          </a:endParaRPr>
        </a:p>
      </xdr:txBody>
    </xdr:sp>
    <xdr:clientData/>
  </xdr:twoCellAnchor>
  <xdr:twoCellAnchor>
    <xdr:from>
      <xdr:col>0</xdr:col>
      <xdr:colOff>0</xdr:colOff>
      <xdr:row>4</xdr:row>
      <xdr:rowOff>171169</xdr:rowOff>
    </xdr:from>
    <xdr:to>
      <xdr:col>1</xdr:col>
      <xdr:colOff>973553</xdr:colOff>
      <xdr:row>6</xdr:row>
      <xdr:rowOff>61618</xdr:rowOff>
    </xdr:to>
    <xdr:sp macro="" textlink="">
      <xdr:nvSpPr>
        <xdr:cNvPr id="10" name="TextBox 9">
          <a:extLst>
            <a:ext uri="{FF2B5EF4-FFF2-40B4-BE49-F238E27FC236}">
              <a16:creationId xmlns:a16="http://schemas.microsoft.com/office/drawing/2014/main" id="{D665C6AD-0DB8-435D-BAC5-4D73E726EDEE}"/>
            </a:ext>
          </a:extLst>
        </xdr:cNvPr>
        <xdr:cNvSpPr txBox="1"/>
      </xdr:nvSpPr>
      <xdr:spPr>
        <a:xfrm>
          <a:off x="0" y="910576"/>
          <a:ext cx="1343256" cy="260152"/>
        </a:xfrm>
        <a:prstGeom prst="rect">
          <a:avLst/>
        </a:prstGeom>
        <a:solidFill>
          <a:schemeClr val="accent6">
            <a:lumMod val="50000"/>
          </a:schemeClr>
        </a:solidFill>
        <a:ln w="9525" cmpd="sng">
          <a:noFill/>
        </a:ln>
        <a:effectLst>
          <a:outerShdw blurRad="50800" dist="50800" dir="5400000" algn="ctr" rotWithShape="0">
            <a:schemeClr val="accent6">
              <a:lumMod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6">
                  <a:lumMod val="50000"/>
                </a:schemeClr>
              </a:solidFill>
            </a:rPr>
            <a:t>💰</a:t>
          </a:r>
          <a:r>
            <a:rPr lang="en-GB" sz="1200" b="1">
              <a:solidFill>
                <a:schemeClr val="bg1"/>
              </a:solidFill>
              <a:latin typeface="Aptos display"/>
            </a:rPr>
            <a:t>Total</a:t>
          </a:r>
          <a:r>
            <a:rPr lang="en-GB" sz="1200" b="1" baseline="0">
              <a:solidFill>
                <a:schemeClr val="accent6">
                  <a:lumMod val="50000"/>
                </a:schemeClr>
              </a:solidFill>
              <a:latin typeface="Aptos display"/>
            </a:rPr>
            <a:t> </a:t>
          </a:r>
          <a:r>
            <a:rPr lang="en-GB" sz="1200" b="1" baseline="0">
              <a:solidFill>
                <a:schemeClr val="bg1"/>
              </a:solidFill>
              <a:latin typeface="Aptos display"/>
              <a:ea typeface="+mn-ea"/>
              <a:cs typeface="+mn-cs"/>
            </a:rPr>
            <a:t>revenue</a:t>
          </a:r>
        </a:p>
      </xdr:txBody>
    </xdr:sp>
    <xdr:clientData/>
  </xdr:twoCellAnchor>
  <xdr:twoCellAnchor>
    <xdr:from>
      <xdr:col>0</xdr:col>
      <xdr:colOff>0</xdr:colOff>
      <xdr:row>9</xdr:row>
      <xdr:rowOff>30967</xdr:rowOff>
    </xdr:from>
    <xdr:to>
      <xdr:col>2</xdr:col>
      <xdr:colOff>0</xdr:colOff>
      <xdr:row>10</xdr:row>
      <xdr:rowOff>98590</xdr:rowOff>
    </xdr:to>
    <xdr:sp macro="" textlink="">
      <xdr:nvSpPr>
        <xdr:cNvPr id="11" name="TextBox 10">
          <a:extLst>
            <a:ext uri="{FF2B5EF4-FFF2-40B4-BE49-F238E27FC236}">
              <a16:creationId xmlns:a16="http://schemas.microsoft.com/office/drawing/2014/main" id="{4FA9D09E-09E8-49EE-A497-3ED52776EADA}"/>
            </a:ext>
          </a:extLst>
        </xdr:cNvPr>
        <xdr:cNvSpPr txBox="1"/>
      </xdr:nvSpPr>
      <xdr:spPr>
        <a:xfrm>
          <a:off x="0" y="1694633"/>
          <a:ext cx="1392550" cy="252474"/>
        </a:xfrm>
        <a:prstGeom prst="rect">
          <a:avLst/>
        </a:prstGeom>
        <a:solidFill>
          <a:schemeClr val="accent6">
            <a:lumMod val="50000"/>
          </a:schemeClr>
        </a:solidFill>
        <a:ln w="9525" cmpd="sng">
          <a:noFill/>
        </a:ln>
        <a:effectLst>
          <a:outerShdw blurRad="50800" dist="50800" dir="5400000" algn="ctr" rotWithShape="0">
            <a:schemeClr val="accent6">
              <a:lumMod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a:t>
          </a:r>
          <a:r>
            <a:rPr lang="en-GB" sz="1200" b="1">
              <a:solidFill>
                <a:schemeClr val="bg1"/>
              </a:solidFill>
            </a:rPr>
            <a:t>Total</a:t>
          </a:r>
          <a:r>
            <a:rPr lang="en-GB" sz="1200" baseline="0">
              <a:solidFill>
                <a:schemeClr val="bg1"/>
              </a:solidFill>
            </a:rPr>
            <a:t> </a:t>
          </a:r>
          <a:r>
            <a:rPr lang="en-GB" sz="1200" b="1" baseline="0">
              <a:solidFill>
                <a:schemeClr val="bg1"/>
              </a:solidFill>
              <a:latin typeface="Aptos display"/>
            </a:rPr>
            <a:t>region</a:t>
          </a:r>
          <a:endParaRPr lang="en-GB" sz="1200" b="1">
            <a:solidFill>
              <a:schemeClr val="bg1"/>
            </a:solidFill>
            <a:latin typeface="Aptos display"/>
          </a:endParaRPr>
        </a:p>
      </xdr:txBody>
    </xdr:sp>
    <xdr:clientData/>
  </xdr:twoCellAnchor>
  <xdr:twoCellAnchor>
    <xdr:from>
      <xdr:col>0</xdr:col>
      <xdr:colOff>86264</xdr:colOff>
      <xdr:row>13</xdr:row>
      <xdr:rowOff>44788</xdr:rowOff>
    </xdr:from>
    <xdr:to>
      <xdr:col>2</xdr:col>
      <xdr:colOff>30170</xdr:colOff>
      <xdr:row>14</xdr:row>
      <xdr:rowOff>150317</xdr:rowOff>
    </xdr:to>
    <xdr:sp macro="" textlink="">
      <xdr:nvSpPr>
        <xdr:cNvPr id="12" name="TextBox 11">
          <a:extLst>
            <a:ext uri="{FF2B5EF4-FFF2-40B4-BE49-F238E27FC236}">
              <a16:creationId xmlns:a16="http://schemas.microsoft.com/office/drawing/2014/main" id="{6789C064-A7EB-40C4-9841-A418EBD9B3BF}"/>
            </a:ext>
          </a:extLst>
        </xdr:cNvPr>
        <xdr:cNvSpPr txBox="1"/>
      </xdr:nvSpPr>
      <xdr:spPr>
        <a:xfrm>
          <a:off x="86264" y="2447861"/>
          <a:ext cx="1336456" cy="29038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baseline="0">
              <a:solidFill>
                <a:schemeClr val="bg1"/>
              </a:solidFill>
              <a:latin typeface="Aptos display"/>
              <a:ea typeface="+mn-ea"/>
              <a:cs typeface="+mn-cs"/>
            </a:rPr>
            <a:t>🚚% Fast delivery</a:t>
          </a:r>
        </a:p>
      </xdr:txBody>
    </xdr:sp>
    <xdr:clientData/>
  </xdr:twoCellAnchor>
  <xdr:twoCellAnchor>
    <xdr:from>
      <xdr:col>0</xdr:col>
      <xdr:colOff>68701</xdr:colOff>
      <xdr:row>17</xdr:row>
      <xdr:rowOff>99380</xdr:rowOff>
    </xdr:from>
    <xdr:to>
      <xdr:col>1</xdr:col>
      <xdr:colOff>901596</xdr:colOff>
      <xdr:row>19</xdr:row>
      <xdr:rowOff>24420</xdr:rowOff>
    </xdr:to>
    <xdr:sp macro="" textlink="">
      <xdr:nvSpPr>
        <xdr:cNvPr id="13" name="TextBox 12">
          <a:extLst>
            <a:ext uri="{FF2B5EF4-FFF2-40B4-BE49-F238E27FC236}">
              <a16:creationId xmlns:a16="http://schemas.microsoft.com/office/drawing/2014/main" id="{261077ED-1A8D-4389-AB8E-5FA431ABC8C7}"/>
            </a:ext>
          </a:extLst>
        </xdr:cNvPr>
        <xdr:cNvSpPr txBox="1"/>
      </xdr:nvSpPr>
      <xdr:spPr>
        <a:xfrm>
          <a:off x="68701" y="3241860"/>
          <a:ext cx="1202598" cy="294743"/>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a:t>
          </a:r>
          <a:r>
            <a:rPr lang="en-GB" sz="1200" b="1" baseline="0">
              <a:solidFill>
                <a:schemeClr val="bg1"/>
              </a:solidFill>
              <a:latin typeface="Aptos display"/>
              <a:ea typeface="+mn-ea"/>
              <a:cs typeface="+mn-cs"/>
            </a:rPr>
            <a:t>Top</a:t>
          </a:r>
          <a:r>
            <a:rPr lang="en-GB" sz="1200" b="1" baseline="0">
              <a:latin typeface="Aptos display"/>
            </a:rPr>
            <a:t> </a:t>
          </a:r>
          <a:r>
            <a:rPr lang="en-GB" sz="1200" b="1" baseline="0">
              <a:solidFill>
                <a:schemeClr val="bg1"/>
              </a:solidFill>
              <a:latin typeface="Aptos display"/>
              <a:ea typeface="+mn-ea"/>
              <a:cs typeface="+mn-cs"/>
            </a:rPr>
            <a:t>seller</a:t>
          </a:r>
        </a:p>
      </xdr:txBody>
    </xdr:sp>
    <xdr:clientData/>
  </xdr:twoCellAnchor>
  <xdr:twoCellAnchor>
    <xdr:from>
      <xdr:col>9</xdr:col>
      <xdr:colOff>377918</xdr:colOff>
      <xdr:row>5</xdr:row>
      <xdr:rowOff>135558</xdr:rowOff>
    </xdr:from>
    <xdr:to>
      <xdr:col>15</xdr:col>
      <xdr:colOff>135557</xdr:colOff>
      <xdr:row>16</xdr:row>
      <xdr:rowOff>172527</xdr:rowOff>
    </xdr:to>
    <xdr:graphicFrame macro="">
      <xdr:nvGraphicFramePr>
        <xdr:cNvPr id="27" name="Chart 26">
          <a:extLst>
            <a:ext uri="{FF2B5EF4-FFF2-40B4-BE49-F238E27FC236}">
              <a16:creationId xmlns:a16="http://schemas.microsoft.com/office/drawing/2014/main" id="{76E7E0AF-C491-42EE-BB57-D86BAA63E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421256</xdr:colOff>
      <xdr:row>5</xdr:row>
      <xdr:rowOff>135559</xdr:rowOff>
    </xdr:from>
    <xdr:to>
      <xdr:col>21</xdr:col>
      <xdr:colOff>147882</xdr:colOff>
      <xdr:row>16</xdr:row>
      <xdr:rowOff>172527</xdr:rowOff>
    </xdr:to>
    <xdr:graphicFrame macro="">
      <xdr:nvGraphicFramePr>
        <xdr:cNvPr id="28" name="Chart 27">
          <a:extLst>
            <a:ext uri="{FF2B5EF4-FFF2-40B4-BE49-F238E27FC236}">
              <a16:creationId xmlns:a16="http://schemas.microsoft.com/office/drawing/2014/main" id="{B4E232E2-D99F-4DF9-8ECC-9A098E019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552092</xdr:colOff>
      <xdr:row>17</xdr:row>
      <xdr:rowOff>125697</xdr:rowOff>
    </xdr:from>
    <xdr:to>
      <xdr:col>18</xdr:col>
      <xdr:colOff>283439</xdr:colOff>
      <xdr:row>28</xdr:row>
      <xdr:rowOff>36969</xdr:rowOff>
    </xdr:to>
    <xdr:graphicFrame macro="">
      <xdr:nvGraphicFramePr>
        <xdr:cNvPr id="29" name="Chart 28">
          <a:extLst>
            <a:ext uri="{FF2B5EF4-FFF2-40B4-BE49-F238E27FC236}">
              <a16:creationId xmlns:a16="http://schemas.microsoft.com/office/drawing/2014/main" id="{20B8A31A-F404-41E9-A1F5-EE8FDD6EE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517586</xdr:colOff>
      <xdr:row>12</xdr:row>
      <xdr:rowOff>117484</xdr:rowOff>
    </xdr:from>
    <xdr:to>
      <xdr:col>24</xdr:col>
      <xdr:colOff>609467</xdr:colOff>
      <xdr:row>18</xdr:row>
      <xdr:rowOff>128987</xdr:rowOff>
    </xdr:to>
    <mc:AlternateContent xmlns:mc="http://schemas.openxmlformats.org/markup-compatibility/2006" xmlns:a14="http://schemas.microsoft.com/office/drawing/2010/main">
      <mc:Choice Requires="a14">
        <xdr:graphicFrame macro="">
          <xdr:nvGraphicFramePr>
            <xdr:cNvPr id="23" name="Delivery Status 1">
              <a:extLst>
                <a:ext uri="{FF2B5EF4-FFF2-40B4-BE49-F238E27FC236}">
                  <a16:creationId xmlns:a16="http://schemas.microsoft.com/office/drawing/2014/main" id="{E97214AF-9BE5-4E9F-9C5B-668B3F1934FB}"/>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3321650" y="2335705"/>
              <a:ext cx="1940400" cy="11206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517584</xdr:colOff>
      <xdr:row>19</xdr:row>
      <xdr:rowOff>20540</xdr:rowOff>
    </xdr:from>
    <xdr:to>
      <xdr:col>24</xdr:col>
      <xdr:colOff>609465</xdr:colOff>
      <xdr:row>28</xdr:row>
      <xdr:rowOff>12323</xdr:rowOff>
    </xdr:to>
    <mc:AlternateContent xmlns:mc="http://schemas.openxmlformats.org/markup-compatibility/2006" xmlns:a14="http://schemas.microsoft.com/office/drawing/2010/main">
      <mc:Choice Requires="a14">
        <xdr:graphicFrame macro="">
          <xdr:nvGraphicFramePr>
            <xdr:cNvPr id="30" name="Region 2">
              <a:extLst>
                <a:ext uri="{FF2B5EF4-FFF2-40B4-BE49-F238E27FC236}">
                  <a16:creationId xmlns:a16="http://schemas.microsoft.com/office/drawing/2014/main" id="{6FD578DC-544F-4CEF-9F19-577A3496041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321648" y="3532723"/>
              <a:ext cx="1940400" cy="16554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537303</xdr:colOff>
      <xdr:row>4</xdr:row>
      <xdr:rowOff>94480</xdr:rowOff>
    </xdr:from>
    <xdr:to>
      <xdr:col>25</xdr:col>
      <xdr:colOff>12324</xdr:colOff>
      <xdr:row>12</xdr:row>
      <xdr:rowOff>24648</xdr:rowOff>
    </xdr:to>
    <mc:AlternateContent xmlns:mc="http://schemas.openxmlformats.org/markup-compatibility/2006" xmlns:a14="http://schemas.microsoft.com/office/drawing/2010/main">
      <mc:Choice Requires="a14">
        <xdr:graphicFrame macro="">
          <xdr:nvGraphicFramePr>
            <xdr:cNvPr id="31" name="Payment Method 3">
              <a:extLst>
                <a:ext uri="{FF2B5EF4-FFF2-40B4-BE49-F238E27FC236}">
                  <a16:creationId xmlns:a16="http://schemas.microsoft.com/office/drawing/2014/main" id="{4139CA5B-AC16-4269-B440-F2761E6A6B6C}"/>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13341367" y="833887"/>
              <a:ext cx="1939711" cy="14089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299051</xdr:colOff>
      <xdr:row>5</xdr:row>
      <xdr:rowOff>147881</xdr:rowOff>
    </xdr:from>
    <xdr:to>
      <xdr:col>9</xdr:col>
      <xdr:colOff>61619</xdr:colOff>
      <xdr:row>17</xdr:row>
      <xdr:rowOff>12323</xdr:rowOff>
    </xdr:to>
    <xdr:graphicFrame macro="">
      <xdr:nvGraphicFramePr>
        <xdr:cNvPr id="19" name="Chart 18">
          <a:extLst>
            <a:ext uri="{FF2B5EF4-FFF2-40B4-BE49-F238E27FC236}">
              <a16:creationId xmlns:a16="http://schemas.microsoft.com/office/drawing/2014/main" id="{E8B970A0-4AAD-4D82-8ABF-813D943D8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261258</xdr:colOff>
      <xdr:row>17</xdr:row>
      <xdr:rowOff>110910</xdr:rowOff>
    </xdr:from>
    <xdr:to>
      <xdr:col>12</xdr:col>
      <xdr:colOff>12324</xdr:colOff>
      <xdr:row>28</xdr:row>
      <xdr:rowOff>24647</xdr:rowOff>
    </xdr:to>
    <xdr:graphicFrame macro="">
      <xdr:nvGraphicFramePr>
        <xdr:cNvPr id="20" name="Chart 19">
          <a:extLst>
            <a:ext uri="{FF2B5EF4-FFF2-40B4-BE49-F238E27FC236}">
              <a16:creationId xmlns:a16="http://schemas.microsoft.com/office/drawing/2014/main" id="{5E27E3B0-F89B-40E9-B69D-7319DF754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295764</xdr:colOff>
      <xdr:row>0</xdr:row>
      <xdr:rowOff>86266</xdr:rowOff>
    </xdr:from>
    <xdr:to>
      <xdr:col>21</xdr:col>
      <xdr:colOff>209500</xdr:colOff>
      <xdr:row>4</xdr:row>
      <xdr:rowOff>160205</xdr:rowOff>
    </xdr:to>
    <xdr:sp macro="" textlink="">
      <xdr:nvSpPr>
        <xdr:cNvPr id="2" name="Rectangle: Rounded Corners 1">
          <a:extLst>
            <a:ext uri="{FF2B5EF4-FFF2-40B4-BE49-F238E27FC236}">
              <a16:creationId xmlns:a16="http://schemas.microsoft.com/office/drawing/2014/main" id="{B25B0954-BD40-4768-961B-EAC52046BD16}"/>
            </a:ext>
          </a:extLst>
        </xdr:cNvPr>
        <xdr:cNvSpPr/>
      </xdr:nvSpPr>
      <xdr:spPr>
        <a:xfrm>
          <a:off x="2008724" y="86266"/>
          <a:ext cx="11004840" cy="813346"/>
        </a:xfrm>
        <a:prstGeom prst="roundRect">
          <a:avLst/>
        </a:prstGeom>
        <a:solidFill>
          <a:schemeClr val="accent6">
            <a:lumMod val="50000"/>
          </a:schemeClr>
        </a:solidFill>
        <a:ln>
          <a:noFill/>
        </a:ln>
        <a:effectLst>
          <a:outerShdw blurRad="50800" dist="38100" dir="2700000" algn="tl" rotWithShape="0">
            <a:prstClr val="black">
              <a:alpha val="40000"/>
            </a:prstClr>
          </a:outerShdw>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a:t>E-Commerce </a:t>
          </a:r>
          <a:r>
            <a:rPr lang="en-GB" sz="3600" i="0" u="none" baseline="0"/>
            <a:t>Sales Intelligence Dashboard</a:t>
          </a:r>
          <a:endParaRPr lang="en-GB" sz="3600" i="0" u="none"/>
        </a:p>
      </xdr:txBody>
    </xdr:sp>
    <xdr:clientData/>
  </xdr:twoCellAnchor>
  <xdr:twoCellAnchor>
    <xdr:from>
      <xdr:col>0</xdr:col>
      <xdr:colOff>172528</xdr:colOff>
      <xdr:row>1</xdr:row>
      <xdr:rowOff>98589</xdr:rowOff>
    </xdr:from>
    <xdr:to>
      <xdr:col>1</xdr:col>
      <xdr:colOff>739407</xdr:colOff>
      <xdr:row>3</xdr:row>
      <xdr:rowOff>147881</xdr:rowOff>
    </xdr:to>
    <xdr:sp macro="" textlink="">
      <xdr:nvSpPr>
        <xdr:cNvPr id="3" name="Rectangle 2">
          <a:extLst>
            <a:ext uri="{FF2B5EF4-FFF2-40B4-BE49-F238E27FC236}">
              <a16:creationId xmlns:a16="http://schemas.microsoft.com/office/drawing/2014/main" id="{E08A9589-F1B4-4D22-A0F5-B2E3422883D0}"/>
            </a:ext>
          </a:extLst>
        </xdr:cNvPr>
        <xdr:cNvSpPr/>
      </xdr:nvSpPr>
      <xdr:spPr>
        <a:xfrm>
          <a:off x="172528" y="283440"/>
          <a:ext cx="936582" cy="418997"/>
        </a:xfrm>
        <a:prstGeom prst="rect">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a:solidFill>
                <a:schemeClr val="accent4">
                  <a:lumMod val="60000"/>
                  <a:lumOff val="40000"/>
                </a:schemeClr>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182880</xdr:colOff>
      <xdr:row>6</xdr:row>
      <xdr:rowOff>41910</xdr:rowOff>
    </xdr:from>
    <xdr:to>
      <xdr:col>13</xdr:col>
      <xdr:colOff>487680</xdr:colOff>
      <xdr:row>21</xdr:row>
      <xdr:rowOff>41910</xdr:rowOff>
    </xdr:to>
    <xdr:graphicFrame macro="">
      <xdr:nvGraphicFramePr>
        <xdr:cNvPr id="2" name="Chart 1">
          <a:extLst>
            <a:ext uri="{FF2B5EF4-FFF2-40B4-BE49-F238E27FC236}">
              <a16:creationId xmlns:a16="http://schemas.microsoft.com/office/drawing/2014/main" id="{19481452-8E1D-F1D1-3F6D-FC4756D4B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Dhyani" refreshedDate="46090.903262615742" createdVersion="8" refreshedVersion="8" minRefreshableVersion="3" recordCount="100" xr:uid="{BBE9D4B5-E5D4-4139-A592-0DDB5D97DA3F}">
  <cacheSource type="worksheet">
    <worksheetSource ref="A1:S101" sheet="Orders"/>
  </cacheSource>
  <cacheFields count="22">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ancelled Delivery" numFmtId="0">
      <sharedItems/>
    </cacheField>
    <cacheField name="Product category" numFmtId="0">
      <sharedItems/>
    </cacheField>
    <cacheField name="Average Time" numFmtId="0">
      <sharedItems containsMixedTypes="1" containsNumber="1" containsInteger="1" minValue="1" maxValue="7"/>
    </cacheField>
    <cacheField name="Customer Name" numFmtId="0">
      <sharedItems/>
    </cacheField>
    <cacheField name="Delivery Performance" numFmtId="0">
      <sharedItems/>
    </cacheField>
    <cacheField name="Product Name" numFmtId="0">
      <sharedItems/>
    </cacheField>
    <cacheField name="Performance Lable" numFmtId="0">
      <sharedItems count="2">
        <s v="High"/>
        <s v="Low"/>
      </sharedItems>
    </cacheField>
    <cacheField name="High" numFmtId="0" formula=" IF('Total Amount'&gt;7000,'Total Amount',0)" databaseField="0"/>
    <cacheField name="Low" numFmtId="0" formula=" IF('Total Amount'&lt;=7000,'Total Amount',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Dhyani" refreshedDate="46128.49518229167" createdVersion="8" refreshedVersion="8" minRefreshableVersion="3" recordCount="100" xr:uid="{9805081B-4E0F-4507-B955-54FF2CCDF98B}">
  <cacheSource type="worksheet">
    <worksheetSource name="Table1"/>
  </cacheSource>
  <cacheFields count="19">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ount="54">
        <n v="44"/>
        <n v="96"/>
        <n v="194"/>
        <n v="196"/>
        <n v="59"/>
        <n v="58"/>
        <n v="105"/>
        <n v="37"/>
        <n v="141"/>
        <n v="249"/>
        <n v="247"/>
        <n v="74"/>
        <n v="27"/>
        <n v="21"/>
        <n v="70"/>
        <n v="94"/>
        <n v="813"/>
        <n v="46"/>
        <n v="43"/>
        <n v="64"/>
        <n v="97"/>
        <n v="69"/>
        <n v="42"/>
        <n v="11"/>
        <n v="172"/>
        <n v="212"/>
        <n v="41"/>
        <n v="32"/>
        <n v="66"/>
        <n v="62"/>
        <n v="173"/>
        <n v="63"/>
        <n v="36"/>
        <n v="137"/>
        <n v="73"/>
        <n v="104"/>
        <n v="22"/>
        <n v="218"/>
        <n v="65"/>
        <n v="26"/>
        <n v="195"/>
        <n v="815"/>
        <n v="139"/>
        <n v="31"/>
        <n v="95"/>
        <n v="214"/>
        <n v="174"/>
        <n v="210"/>
        <n v="788"/>
        <n v="217"/>
        <n v="138"/>
        <n v="803"/>
        <n v="248"/>
        <n v="215"/>
      </sharedItems>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base="10">
        <rangePr groupBy="months" startDate="2023-01-07T00:00:00" endDate="2024-01-01T00:00:00"/>
        <groupItems count="14">
          <s v="&lt;07/01/2023"/>
          <s v="Jan"/>
          <s v="Feb"/>
          <s v="Mar"/>
          <s v="Apr"/>
          <s v="May"/>
          <s v="Jun"/>
          <s v="Jul"/>
          <s v="Aug"/>
          <s v="Sep"/>
          <s v="Oct"/>
          <s v="Nov"/>
          <s v="Dec"/>
          <s v="&gt;01/01/2024"/>
        </groupItems>
      </fieldGroup>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ancelled Delivery" numFmtId="0">
      <sharedItems count="2">
        <s v="Yes"/>
        <s v="No"/>
      </sharedItems>
    </cacheField>
    <cacheField name="Product category" numFmtId="0">
      <sharedItems count="5">
        <s v="Home"/>
        <s v="Toys"/>
        <s v="Fashion"/>
        <s v="Electronics"/>
        <s v="Books"/>
      </sharedItems>
    </cacheField>
    <cacheField name="Average Time" numFmtId="0">
      <sharedItems containsMixedTypes="1" containsNumber="1" containsInteger="1" minValue="1" maxValue="7"/>
    </cacheField>
    <cacheField name="Customer Name" numFmtId="0">
      <sharedItems/>
    </cacheField>
    <cacheField name="Delivery Performance" numFmtId="0">
      <sharedItems count="3">
        <s v="NA"/>
        <s v="Fast"/>
        <s v="Slow"/>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s>
  <extLst>
    <ext xmlns:x14="http://schemas.microsoft.com/office/spreadsheetml/2009/9/main" uri="{725AE2AE-9491-48be-B2B4-4EB974FC3084}">
      <x14:pivotCacheDefinition pivotCacheId="262064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s v="Cancelled"/>
    <s v="DHL"/>
    <d v="2023-12-31T00:00:00"/>
    <m/>
    <d v="2024-01-02T00:00:00"/>
    <s v="Yes"/>
    <s v="Home"/>
    <s v="NA"/>
    <s v="Zoe Mitchell"/>
    <s v="NA"/>
    <s v="Lamp"/>
    <x v="0"/>
  </r>
  <r>
    <s v="ORD0002"/>
    <s v="CUST029"/>
    <s v="PROD018"/>
    <x v="1"/>
    <n v="96"/>
    <n v="4"/>
    <n v="384"/>
    <s v="Credit Card"/>
    <s v="Delivered"/>
    <s v="DHL"/>
    <d v="2023-02-22T00:00:00"/>
    <d v="2023-02-24T00:00:00"/>
    <m/>
    <s v="No"/>
    <s v="Toys"/>
    <n v="2"/>
    <s v="Ava White"/>
    <s v="Fast"/>
    <s v="Doll House"/>
    <x v="0"/>
  </r>
  <r>
    <s v="ORD0003"/>
    <s v="CUST021"/>
    <s v="PROD013"/>
    <x v="2"/>
    <n v="194"/>
    <n v="4"/>
    <n v="776"/>
    <s v="Credit Card"/>
    <s v="In Transit"/>
    <s v="USPS"/>
    <d v="2023-10-11T00:00:00"/>
    <m/>
    <m/>
    <s v="No"/>
    <s v="Home"/>
    <s v="NA"/>
    <s v="Zoe Mitchell"/>
    <s v="NA"/>
    <s v="Vacuum Cleaner"/>
    <x v="1"/>
  </r>
  <r>
    <s v="ORD0004"/>
    <s v="CUST044"/>
    <s v="PROD013"/>
    <x v="0"/>
    <n v="196"/>
    <n v="3"/>
    <n v="588"/>
    <s v="PayPal"/>
    <s v="Cancelled"/>
    <s v="UPS"/>
    <d v="2023-05-05T00:00:00"/>
    <m/>
    <d v="2023-05-11T00:00:00"/>
    <s v="Yes"/>
    <s v="Home"/>
    <s v="NA"/>
    <s v="Grace Ward"/>
    <s v="NA"/>
    <s v="Vacuum Cleaner"/>
    <x v="0"/>
  </r>
  <r>
    <s v="ORD0005"/>
    <s v="CUST027"/>
    <s v="PROD010"/>
    <x v="0"/>
    <n v="59"/>
    <n v="1"/>
    <n v="59"/>
    <s v="PayPal"/>
    <s v="Delivered"/>
    <s v="Amazon Logistics"/>
    <d v="2023-02-02T00:00:00"/>
    <d v="2023-02-05T00:00:00"/>
    <m/>
    <s v="No"/>
    <s v="Fashion"/>
    <n v="3"/>
    <s v="Hazel Brooks"/>
    <s v="Slow"/>
    <s v="Jeans"/>
    <x v="0"/>
  </r>
  <r>
    <s v="ORD0006"/>
    <s v="CUST009"/>
    <s v="PROD010"/>
    <x v="0"/>
    <n v="58"/>
    <n v="4"/>
    <n v="232"/>
    <s v="Amazon Pay"/>
    <s v="Cancelled"/>
    <s v="DHL"/>
    <d v="2023-11-01T00:00:00"/>
    <m/>
    <d v="2023-11-02T00:00:00"/>
    <s v="Yes"/>
    <s v="Fashion"/>
    <s v="NA"/>
    <s v="Jackson Allen"/>
    <s v="NA"/>
    <s v="Jeans"/>
    <x v="0"/>
  </r>
  <r>
    <s v="ORD0007"/>
    <s v="CUST042"/>
    <s v="PROD020"/>
    <x v="3"/>
    <n v="105"/>
    <n v="3"/>
    <n v="315"/>
    <s v="Debit Card"/>
    <s v="Cancelled"/>
    <s v="DHL"/>
    <d v="2023-08-14T00:00:00"/>
    <m/>
    <d v="2023-08-18T00:00:00"/>
    <s v="Yes"/>
    <s v="Electronics"/>
    <s v="NA"/>
    <s v="Noah Wilson"/>
    <s v="NA"/>
    <s v="Bluetooth Speaker"/>
    <x v="1"/>
  </r>
  <r>
    <s v="ORD0008"/>
    <s v="CUST019"/>
    <s v="PROD021"/>
    <x v="4"/>
    <n v="37"/>
    <n v="5"/>
    <n v="185"/>
    <s v="PayPal"/>
    <s v="Cancelled"/>
    <s v="DHL"/>
    <d v="2023-04-01T00:00:00"/>
    <m/>
    <d v="2023-04-06T00:00:00"/>
    <s v="Yes"/>
    <s v="Home"/>
    <s v="NA"/>
    <s v="Ava Robinson"/>
    <s v="NA"/>
    <s v="Wall Clock"/>
    <x v="0"/>
  </r>
  <r>
    <s v="ORD0009"/>
    <s v="CUST013"/>
    <s v="PROD019"/>
    <x v="3"/>
    <n v="44"/>
    <n v="2"/>
    <n v="88"/>
    <s v="Credit Card"/>
    <s v="In Transit"/>
    <s v="Amazon Logistics"/>
    <d v="2023-07-21T00:00:00"/>
    <m/>
    <m/>
    <s v="No"/>
    <s v="Fashion"/>
    <s v="NA"/>
    <s v="Olivia Martinez"/>
    <s v="NA"/>
    <s v="Formal Shirt"/>
    <x v="1"/>
  </r>
  <r>
    <s v="ORD0010"/>
    <s v="CUST019"/>
    <s v="PROD003"/>
    <x v="2"/>
    <n v="141"/>
    <n v="4"/>
    <n v="564"/>
    <s v="Debit Card"/>
    <s v="In Transit"/>
    <s v="DHL"/>
    <d v="2023-12-29T00:00:00"/>
    <m/>
    <m/>
    <s v="No"/>
    <s v="Home"/>
    <s v="NA"/>
    <s v="Ava Robinson"/>
    <s v="NA"/>
    <s v="Cookware Set"/>
    <x v="0"/>
  </r>
  <r>
    <s v="ORD0011"/>
    <s v="CUST046"/>
    <s v="PROD014"/>
    <x v="2"/>
    <n v="249"/>
    <n v="1"/>
    <n v="249"/>
    <s v="Amazon Pay"/>
    <s v="Cancelled"/>
    <s v="USPS"/>
    <d v="2023-05-04T00:00:00"/>
    <m/>
    <d v="2023-05-08T00:00:00"/>
    <s v="Yes"/>
    <s v="Electronics"/>
    <s v="NA"/>
    <s v="Emily Johnson"/>
    <s v="NA"/>
    <s v="Smartwatch"/>
    <x v="0"/>
  </r>
  <r>
    <s v="ORD0012"/>
    <s v="CUST045"/>
    <s v="PROD014"/>
    <x v="3"/>
    <n v="247"/>
    <n v="3"/>
    <n v="741"/>
    <s v="Amazon Pay"/>
    <s v="In Transit"/>
    <s v="FedEx"/>
    <d v="2023-07-25T00:00:00"/>
    <m/>
    <m/>
    <s v="No"/>
    <s v="Electronics"/>
    <s v="NA"/>
    <s v="Emily Johnson"/>
    <s v="NA"/>
    <s v="Smartwatch"/>
    <x v="1"/>
  </r>
  <r>
    <s v="ORD0013"/>
    <s v="CUST023"/>
    <s v="PROD006"/>
    <x v="3"/>
    <n v="96"/>
    <n v="1"/>
    <n v="96"/>
    <s v="Apple Pay"/>
    <s v="Cancelled"/>
    <s v="Amazon Logistics"/>
    <d v="2023-02-25T00:00:00"/>
    <m/>
    <d v="2023-02-28T00:00:00"/>
    <s v="Yes"/>
    <s v="Fashion"/>
    <s v="NA"/>
    <s v="Charlotte Reed"/>
    <s v="NA"/>
    <s v="Shoes"/>
    <x v="1"/>
  </r>
  <r>
    <s v="ORD0014"/>
    <s v="CUST033"/>
    <s v="PROD017"/>
    <x v="4"/>
    <n v="74"/>
    <n v="5"/>
    <n v="370"/>
    <s v="Apple Pay"/>
    <s v="Cancelled"/>
    <s v="Amazon Logistics"/>
    <d v="2023-02-24T00:00:00"/>
    <m/>
    <d v="2023-02-25T00:00:00"/>
    <s v="Yes"/>
    <s v="Electronics"/>
    <s v="NA"/>
    <s v="Hazel Rivera"/>
    <s v="NA"/>
    <s v="Gaming Mouse"/>
    <x v="1"/>
  </r>
  <r>
    <s v="ORD0015"/>
    <s v="CUST033"/>
    <s v="PROD005"/>
    <x v="2"/>
    <n v="27"/>
    <n v="1"/>
    <n v="27"/>
    <s v="Credit Card"/>
    <s v="Cancelled"/>
    <s v="Amazon Logistics"/>
    <d v="2023-08-26T00:00:00"/>
    <m/>
    <d v="2023-09-02T00:00:00"/>
    <s v="Yes"/>
    <s v="Fashion"/>
    <s v="NA"/>
    <s v="Hazel Rivera"/>
    <s v="NA"/>
    <s v="T-Shirt"/>
    <x v="1"/>
  </r>
  <r>
    <s v="ORD0016"/>
    <s v="CUST047"/>
    <s v="PROD005"/>
    <x v="2"/>
    <n v="27"/>
    <n v="3"/>
    <n v="81"/>
    <s v="Debit Card"/>
    <s v="In Transit"/>
    <s v="Amazon Logistics"/>
    <d v="2023-02-13T00:00:00"/>
    <m/>
    <m/>
    <s v="No"/>
    <s v="Fashion"/>
    <s v="NA"/>
    <s v="Scarlett Murphy"/>
    <s v="NA"/>
    <s v="T-Shirt"/>
    <x v="1"/>
  </r>
  <r>
    <s v="ORD0017"/>
    <s v="CUST045"/>
    <s v="PROD015"/>
    <x v="1"/>
    <n v="21"/>
    <n v="3"/>
    <n v="63"/>
    <s v="Credit Card"/>
    <s v="Delivered"/>
    <s v="DHL"/>
    <d v="2023-06-28T00:00:00"/>
    <d v="2023-07-01T00:00:00"/>
    <m/>
    <s v="No"/>
    <s v="Books"/>
    <n v="3"/>
    <s v="Emily Johnson"/>
    <s v="Slow"/>
    <s v="Novel"/>
    <x v="0"/>
  </r>
  <r>
    <s v="ORD0018"/>
    <s v="CUST011"/>
    <s v="PROD008"/>
    <x v="4"/>
    <n v="70"/>
    <n v="5"/>
    <n v="350"/>
    <s v="PayPal"/>
    <s v="In Transit"/>
    <s v="Amazon Logistics"/>
    <d v="2023-11-28T00:00:00"/>
    <m/>
    <m/>
    <s v="No"/>
    <s v="Books"/>
    <s v="NA"/>
    <s v="Mason Hall"/>
    <s v="NA"/>
    <s v="Textbook"/>
    <x v="1"/>
  </r>
  <r>
    <s v="ORD0019"/>
    <s v="CUST041"/>
    <s v="PROD006"/>
    <x v="2"/>
    <n v="94"/>
    <n v="4"/>
    <n v="376"/>
    <s v="Credit Card"/>
    <s v="In Transit"/>
    <s v="USPS"/>
    <d v="2023-08-25T00:00:00"/>
    <m/>
    <m/>
    <s v="No"/>
    <s v="Fashion"/>
    <s v="NA"/>
    <s v="Jacob Price"/>
    <s v="NA"/>
    <s v="Shoes"/>
    <x v="1"/>
  </r>
  <r>
    <s v="ORD0020"/>
    <s v="CUST025"/>
    <s v="PROD001"/>
    <x v="0"/>
    <n v="813"/>
    <n v="2"/>
    <n v="1626"/>
    <s v="Credit Card"/>
    <s v="In Transit"/>
    <s v="FedEx"/>
    <d v="2023-04-12T00:00:00"/>
    <m/>
    <m/>
    <s v="No"/>
    <s v="Electronics"/>
    <s v="NA"/>
    <s v="Emma King"/>
    <s v="NA"/>
    <s v="Smartphone"/>
    <x v="0"/>
  </r>
  <r>
    <s v="ORD0021"/>
    <s v="CUST013"/>
    <s v="PROD015"/>
    <x v="3"/>
    <n v="21"/>
    <n v="4"/>
    <n v="84"/>
    <s v="PayPal"/>
    <s v="In Transit"/>
    <s v="Amazon Logistics"/>
    <d v="2023-10-02T00:00:00"/>
    <m/>
    <m/>
    <s v="No"/>
    <s v="Books"/>
    <s v="NA"/>
    <s v="Olivia Martinez"/>
    <s v="NA"/>
    <s v="Novel"/>
    <x v="1"/>
  </r>
  <r>
    <s v="ORD0022"/>
    <s v="CUST023"/>
    <s v="PROD012"/>
    <x v="4"/>
    <n v="46"/>
    <n v="5"/>
    <n v="230"/>
    <s v="PayPal"/>
    <s v="In Transit"/>
    <s v="USPS"/>
    <d v="2023-11-09T00:00:00"/>
    <m/>
    <m/>
    <s v="No"/>
    <s v="Home"/>
    <s v="NA"/>
    <s v="Charlotte Reed"/>
    <s v="NA"/>
    <s v="Lamp"/>
    <x v="0"/>
  </r>
  <r>
    <s v="ORD0023"/>
    <s v="CUST016"/>
    <s v="PROD010"/>
    <x v="4"/>
    <n v="58"/>
    <n v="3"/>
    <n v="174"/>
    <s v="Amazon Pay"/>
    <s v="Cancelled"/>
    <s v="Amazon Logistics"/>
    <d v="2023-02-13T00:00:00"/>
    <m/>
    <d v="2023-02-14T00:00:00"/>
    <s v="Yes"/>
    <s v="Fashion"/>
    <s v="NA"/>
    <s v="Elijah Lewis"/>
    <s v="NA"/>
    <s v="Jeans"/>
    <x v="0"/>
  </r>
  <r>
    <s v="ORD0024"/>
    <s v="CUST028"/>
    <s v="PROD006"/>
    <x v="4"/>
    <n v="96"/>
    <n v="5"/>
    <n v="480"/>
    <s v="Amazon Pay"/>
    <s v="Delivered"/>
    <s v="Amazon Logistics"/>
    <d v="2023-11-02T00:00:00"/>
    <d v="2023-11-05T00:00:00"/>
    <m/>
    <s v="No"/>
    <s v="Fashion"/>
    <n v="3"/>
    <s v="Lily Bennett"/>
    <s v="Slow"/>
    <s v="Shoes"/>
    <x v="0"/>
  </r>
  <r>
    <s v="ORD0025"/>
    <s v="CUST040"/>
    <s v="PROD002"/>
    <x v="2"/>
    <n v="43"/>
    <n v="1"/>
    <n v="43"/>
    <s v="Debit Card"/>
    <s v="Delivered"/>
    <s v="Amazon Logistics"/>
    <d v="2023-05-28T00:00:00"/>
    <d v="2023-05-30T00:00:00"/>
    <m/>
    <s v="No"/>
    <s v="Toys"/>
    <n v="2"/>
    <s v="Benjamin Clark"/>
    <s v="Fast"/>
    <s v="Action Figure"/>
    <x v="1"/>
  </r>
  <r>
    <s v="ORD0026"/>
    <s v="CUST027"/>
    <s v="PROD022"/>
    <x v="2"/>
    <n v="64"/>
    <n v="4"/>
    <n v="256"/>
    <s v="Debit Card"/>
    <s v="Delivered"/>
    <s v="USPS"/>
    <d v="2023-10-15T00:00:00"/>
    <d v="2023-10-21T00:00:00"/>
    <m/>
    <s v="No"/>
    <s v="Fashion"/>
    <n v="6"/>
    <s v="Hazel Brooks"/>
    <s v="Slow"/>
    <s v="Backpack"/>
    <x v="1"/>
  </r>
  <r>
    <s v="ORD0027"/>
    <s v="CUST018"/>
    <s v="PROD008"/>
    <x v="2"/>
    <n v="70"/>
    <n v="2"/>
    <n v="140"/>
    <s v="Amazon Pay"/>
    <s v="In Transit"/>
    <s v="Amazon Logistics"/>
    <d v="2023-01-16T00:00:00"/>
    <m/>
    <m/>
    <s v="No"/>
    <s v="Books"/>
    <s v="NA"/>
    <s v="Grace Scott"/>
    <s v="NA"/>
    <s v="Textbook"/>
    <x v="0"/>
  </r>
  <r>
    <s v="ORD0028"/>
    <s v="CUST018"/>
    <s v="PROD018"/>
    <x v="3"/>
    <n v="97"/>
    <n v="3"/>
    <n v="291"/>
    <s v="Credit Card"/>
    <s v="In Transit"/>
    <s v="Amazon Logistics"/>
    <d v="2023-10-09T00:00:00"/>
    <m/>
    <m/>
    <s v="No"/>
    <s v="Toys"/>
    <s v="NA"/>
    <s v="Grace Scott"/>
    <s v="NA"/>
    <s v="Doll House"/>
    <x v="1"/>
  </r>
  <r>
    <s v="ORD0029"/>
    <s v="CUST007"/>
    <s v="PROD021"/>
    <x v="1"/>
    <n v="37"/>
    <n v="3"/>
    <n v="111"/>
    <s v="Apple Pay"/>
    <s v="Cancelled"/>
    <s v="DHL"/>
    <d v="2023-10-07T00:00:00"/>
    <m/>
    <d v="2023-10-10T00:00:00"/>
    <s v="Yes"/>
    <s v="Home"/>
    <s v="NA"/>
    <s v="Liam Walker"/>
    <s v="NA"/>
    <s v="Wall Clock"/>
    <x v="1"/>
  </r>
  <r>
    <s v="ORD0030"/>
    <s v="CUST008"/>
    <s v="PROD008"/>
    <x v="0"/>
    <n v="69"/>
    <n v="5"/>
    <n v="345"/>
    <s v="Amazon Pay"/>
    <s v="In Transit"/>
    <s v="Amazon Logistics"/>
    <d v="2023-02-14T00:00:00"/>
    <m/>
    <m/>
    <s v="No"/>
    <s v="Books"/>
    <s v="NA"/>
    <s v="Harper Young"/>
    <s v="NA"/>
    <s v="Textbook"/>
    <x v="0"/>
  </r>
  <r>
    <s v="ORD0031"/>
    <s v="CUST014"/>
    <s v="PROD002"/>
    <x v="0"/>
    <n v="42"/>
    <n v="5"/>
    <n v="210"/>
    <s v="Amazon Pay"/>
    <s v="In Transit"/>
    <s v="UPS"/>
    <d v="2023-03-26T00:00:00"/>
    <m/>
    <m/>
    <s v="No"/>
    <s v="Toys"/>
    <s v="NA"/>
    <s v="Harper Young"/>
    <s v="NA"/>
    <s v="Action Figure"/>
    <x v="0"/>
  </r>
  <r>
    <s v="ORD0032"/>
    <s v="CUST037"/>
    <s v="PROD009"/>
    <x v="1"/>
    <n v="11"/>
    <n v="5"/>
    <n v="55"/>
    <s v="Debit Card"/>
    <s v="Cancelled"/>
    <s v="FedEx"/>
    <d v="2023-06-15T00:00:00"/>
    <m/>
    <d v="2023-06-22T00:00:00"/>
    <s v="Yes"/>
    <s v="Books"/>
    <s v="NA"/>
    <s v="Emily Johnson"/>
    <s v="NA"/>
    <s v="Magazine"/>
    <x v="1"/>
  </r>
  <r>
    <s v="ORD0033"/>
    <s v="CUST016"/>
    <s v="PROD005"/>
    <x v="2"/>
    <n v="27"/>
    <n v="2"/>
    <n v="54"/>
    <s v="Apple Pay"/>
    <s v="Delivered"/>
    <s v="USPS"/>
    <d v="2023-05-22T00:00:00"/>
    <d v="2023-05-23T00:00:00"/>
    <m/>
    <s v="No"/>
    <s v="Fashion"/>
    <n v="1"/>
    <s v="Elijah Lewis"/>
    <s v="Fast"/>
    <s v="T-Shirt"/>
    <x v="1"/>
  </r>
  <r>
    <s v="ORD0034"/>
    <s v="CUST025"/>
    <s v="PROD015"/>
    <x v="2"/>
    <n v="21"/>
    <n v="1"/>
    <n v="21"/>
    <s v="Amazon Pay"/>
    <s v="In Transit"/>
    <s v="DHL"/>
    <d v="2023-11-20T00:00:00"/>
    <m/>
    <m/>
    <s v="No"/>
    <s v="Books"/>
    <s v="NA"/>
    <s v="Emma King"/>
    <s v="NA"/>
    <s v="Novel"/>
    <x v="1"/>
  </r>
  <r>
    <s v="ORD0035"/>
    <s v="CUST032"/>
    <s v="PROD011"/>
    <x v="2"/>
    <n v="172"/>
    <n v="1"/>
    <n v="172"/>
    <s v="PayPal"/>
    <s v="Delivered"/>
    <s v="USPS"/>
    <d v="2023-12-22T00:00:00"/>
    <d v="2023-12-26T00:00:00"/>
    <m/>
    <s v="No"/>
    <s v="Electronics"/>
    <n v="4"/>
    <s v="Luke Gray"/>
    <s v="Slow"/>
    <s v="Headphones"/>
    <x v="1"/>
  </r>
  <r>
    <s v="ORD0036"/>
    <s v="CUST014"/>
    <s v="PROD016"/>
    <x v="0"/>
    <n v="212"/>
    <n v="3"/>
    <n v="636"/>
    <s v="Amazon Pay"/>
    <s v="In Transit"/>
    <s v="UPS"/>
    <d v="2023-07-23T00:00:00"/>
    <m/>
    <m/>
    <s v="No"/>
    <s v="Home"/>
    <s v="NA"/>
    <s v="Harper Young"/>
    <s v="NA"/>
    <s v="Cookware Set Pro"/>
    <x v="1"/>
  </r>
  <r>
    <s v="ORD0037"/>
    <s v="CUST044"/>
    <s v="PROD002"/>
    <x v="1"/>
    <n v="41"/>
    <n v="4"/>
    <n v="164"/>
    <s v="Credit Card"/>
    <s v="Delivered"/>
    <s v="Amazon Logistics"/>
    <d v="2023-10-17T00:00:00"/>
    <d v="2023-10-22T00:00:00"/>
    <m/>
    <s v="No"/>
    <s v="Toys"/>
    <n v="5"/>
    <s v="Grace Ward"/>
    <s v="Slow"/>
    <s v="Action Figure"/>
    <x v="1"/>
  </r>
  <r>
    <s v="ORD0038"/>
    <s v="CUST028"/>
    <s v="PROD007"/>
    <x v="0"/>
    <n v="32"/>
    <n v="2"/>
    <n v="64"/>
    <s v="Debit Card"/>
    <s v="Cancelled"/>
    <s v="FedEx"/>
    <d v="2023-08-22T00:00:00"/>
    <m/>
    <d v="2023-08-24T00:00:00"/>
    <s v="Yes"/>
    <s v="Toys"/>
    <s v="NA"/>
    <s v="Lily Bennett"/>
    <s v="NA"/>
    <s v="Puzzle"/>
    <x v="0"/>
  </r>
  <r>
    <s v="ORD0039"/>
    <s v="CUST024"/>
    <s v="PROD022"/>
    <x v="1"/>
    <n v="66"/>
    <n v="2"/>
    <n v="132"/>
    <s v="Apple Pay"/>
    <s v="In Transit"/>
    <s v="DHL"/>
    <d v="2023-12-02T00:00:00"/>
    <m/>
    <m/>
    <s v="No"/>
    <s v="Fashion"/>
    <s v="NA"/>
    <s v="Scarlett Murphy"/>
    <s v="NA"/>
    <s v="Backpack"/>
    <x v="1"/>
  </r>
  <r>
    <s v="ORD0040"/>
    <s v="CUST006"/>
    <s v="PROD004"/>
    <x v="1"/>
    <n v="62"/>
    <n v="4"/>
    <n v="248"/>
    <s v="Debit Card"/>
    <s v="In Transit"/>
    <s v="UPS"/>
    <d v="2023-12-25T00:00:00"/>
    <m/>
    <m/>
    <s v="No"/>
    <s v="Toys"/>
    <s v="NA"/>
    <s v="Ava Robinson"/>
    <s v="NA"/>
    <s v="Leg Set"/>
    <x v="1"/>
  </r>
  <r>
    <s v="ORD0041"/>
    <s v="CUST001"/>
    <s v="PROD011"/>
    <x v="4"/>
    <n v="173"/>
    <n v="4"/>
    <n v="692"/>
    <s v="Apple Pay"/>
    <s v="Delivered"/>
    <s v="UPS"/>
    <d v="2023-09-23T00:00:00"/>
    <d v="2023-09-30T00:00:00"/>
    <m/>
    <s v="No"/>
    <s v="Electronics"/>
    <n v="7"/>
    <s v="James Miller"/>
    <s v="Slow"/>
    <s v="Headphones"/>
    <x v="1"/>
  </r>
  <r>
    <s v="ORD0042"/>
    <s v="CUST007"/>
    <s v="PROD004"/>
    <x v="4"/>
    <n v="63"/>
    <n v="3"/>
    <n v="189"/>
    <s v="Apple Pay"/>
    <s v="Delivered"/>
    <s v="UPS"/>
    <d v="2023-07-16T00:00:00"/>
    <d v="2023-07-18T00:00:00"/>
    <m/>
    <s v="No"/>
    <s v="Toys"/>
    <n v="2"/>
    <s v="Liam Walker"/>
    <s v="Fast"/>
    <s v="Leg Set"/>
    <x v="1"/>
  </r>
  <r>
    <s v="ORD0043"/>
    <s v="CUST040"/>
    <s v="PROD021"/>
    <x v="4"/>
    <n v="36"/>
    <n v="3"/>
    <n v="108"/>
    <s v="Debit Card"/>
    <s v="Cancelled"/>
    <s v="USPS"/>
    <d v="2023-02-05T00:00:00"/>
    <m/>
    <d v="2023-02-11T00:00:00"/>
    <s v="Yes"/>
    <s v="Home"/>
    <s v="NA"/>
    <s v="Benjamin Clark"/>
    <s v="NA"/>
    <s v="Wall Clock"/>
    <x v="1"/>
  </r>
  <r>
    <s v="ORD0044"/>
    <s v="CUST006"/>
    <s v="PROD004"/>
    <x v="3"/>
    <n v="62"/>
    <n v="1"/>
    <n v="62"/>
    <s v="Apple Pay"/>
    <s v="Cancelled"/>
    <s v="Amazon Logistics"/>
    <d v="2023-12-18T00:00:00"/>
    <m/>
    <d v="2023-12-23T00:00:00"/>
    <s v="Yes"/>
    <s v="Toys"/>
    <s v="NA"/>
    <s v="Ava Robinson"/>
    <s v="NA"/>
    <s v="Leg Set"/>
    <x v="1"/>
  </r>
  <r>
    <s v="ORD0045"/>
    <s v="CUST042"/>
    <s v="PROD003"/>
    <x v="3"/>
    <n v="137"/>
    <n v="5"/>
    <n v="685"/>
    <s v="Amazon Pay"/>
    <s v="Cancelled"/>
    <s v="FedEx"/>
    <d v="2023-06-11T00:00:00"/>
    <m/>
    <d v="2023-06-14T00:00:00"/>
    <s v="Yes"/>
    <s v="Home"/>
    <s v="NA"/>
    <s v="Noah Wilson"/>
    <s v="NA"/>
    <s v="Cookware Set"/>
    <x v="0"/>
  </r>
  <r>
    <s v="ORD0046"/>
    <s v="CUST039"/>
    <s v="PROD017"/>
    <x v="0"/>
    <n v="73"/>
    <n v="4"/>
    <n v="292"/>
    <s v="Credit Card"/>
    <s v="Delivered"/>
    <s v="Amazon Logistics"/>
    <d v="2023-12-04T00:00:00"/>
    <d v="2023-12-08T00:00:00"/>
    <m/>
    <s v="No"/>
    <s v="Electronics"/>
    <n v="4"/>
    <s v="Logan Ramirez"/>
    <s v="Slow"/>
    <s v="Gaming Mouse"/>
    <x v="1"/>
  </r>
  <r>
    <s v="ORD0047"/>
    <s v="CUST041"/>
    <s v="PROD020"/>
    <x v="0"/>
    <n v="104"/>
    <n v="1"/>
    <n v="104"/>
    <s v="PayPal"/>
    <s v="Delivered"/>
    <s v="Amazon Logistics"/>
    <d v="2023-07-17T00:00:00"/>
    <d v="2023-07-19T00:00:00"/>
    <m/>
    <s v="No"/>
    <s v="Electronics"/>
    <n v="2"/>
    <s v="Jacob Price"/>
    <s v="Fast"/>
    <s v="Bluetooth Speaker"/>
    <x v="1"/>
  </r>
  <r>
    <s v="ORD0048"/>
    <s v="CUST044"/>
    <s v="PROD006"/>
    <x v="1"/>
    <n v="97"/>
    <n v="1"/>
    <n v="97"/>
    <s v="Amazon Pay"/>
    <s v="Delivered"/>
    <s v="FedEx"/>
    <d v="2023-10-19T00:00:00"/>
    <d v="2023-10-24T00:00:00"/>
    <m/>
    <s v="No"/>
    <s v="Fashion"/>
    <n v="5"/>
    <s v="Grace Ward"/>
    <s v="Slow"/>
    <s v="Shoes"/>
    <x v="1"/>
  </r>
  <r>
    <s v="ORD0049"/>
    <s v="CUST026"/>
    <s v="PROD017"/>
    <x v="2"/>
    <n v="73"/>
    <n v="5"/>
    <n v="365"/>
    <s v="Apple Pay"/>
    <s v="In Transit"/>
    <s v="Amazon Logistics"/>
    <d v="2023-05-15T00:00:00"/>
    <m/>
    <m/>
    <s v="No"/>
    <s v="Electronics"/>
    <s v="NA"/>
    <s v="Zoe Mitchell"/>
    <s v="NA"/>
    <s v="Gaming Mouse"/>
    <x v="1"/>
  </r>
  <r>
    <s v="ORD0050"/>
    <s v="CUST040"/>
    <s v="PROD005"/>
    <x v="1"/>
    <n v="27"/>
    <n v="3"/>
    <n v="81"/>
    <s v="Amazon Pay"/>
    <s v="Delivered"/>
    <s v="UPS"/>
    <d v="2023-02-12T00:00:00"/>
    <d v="2023-02-19T00:00:00"/>
    <m/>
    <s v="No"/>
    <s v="Fashion"/>
    <n v="7"/>
    <s v="Benjamin Clark"/>
    <s v="Slow"/>
    <s v="T-Shirt"/>
    <x v="1"/>
  </r>
  <r>
    <s v="ORD0051"/>
    <s v="CUST041"/>
    <s v="PROD021"/>
    <x v="0"/>
    <n v="37"/>
    <n v="1"/>
    <n v="37"/>
    <s v="Apple Pay"/>
    <s v="In Transit"/>
    <s v="UPS"/>
    <d v="2023-10-02T00:00:00"/>
    <m/>
    <m/>
    <s v="No"/>
    <s v="Home"/>
    <s v="NA"/>
    <s v="Jacob Price"/>
    <s v="NA"/>
    <s v="Wall Clock"/>
    <x v="1"/>
  </r>
  <r>
    <s v="ORD0052"/>
    <s v="CUST008"/>
    <s v="PROD015"/>
    <x v="0"/>
    <n v="22"/>
    <n v="1"/>
    <n v="22"/>
    <s v="Debit Card"/>
    <s v="Delivered"/>
    <s v="FedEx"/>
    <d v="2023-01-30T00:00:00"/>
    <d v="2023-02-01T00:00:00"/>
    <m/>
    <s v="No"/>
    <s v="Books"/>
    <n v="2"/>
    <s v="Harper Young"/>
    <s v="Fast"/>
    <s v="Novel"/>
    <x v="1"/>
  </r>
  <r>
    <s v="ORD0053"/>
    <s v="CUST011"/>
    <s v="PROD016"/>
    <x v="3"/>
    <n v="218"/>
    <n v="5"/>
    <n v="1090"/>
    <s v="PayPal"/>
    <s v="Delivered"/>
    <s v="DHL"/>
    <d v="2023-12-29T00:00:00"/>
    <d v="2024-01-01T00:00:00"/>
    <m/>
    <s v="No"/>
    <s v="Home"/>
    <n v="3"/>
    <s v="Mason Hall"/>
    <s v="Slow"/>
    <s v="Cookware Set Pro"/>
    <x v="1"/>
  </r>
  <r>
    <s v="ORD0054"/>
    <s v="CUST018"/>
    <s v="PROD004"/>
    <x v="0"/>
    <n v="64"/>
    <n v="1"/>
    <n v="64"/>
    <s v="Apple Pay"/>
    <s v="Cancelled"/>
    <s v="USPS"/>
    <d v="2023-03-06T00:00:00"/>
    <m/>
    <d v="2023-03-13T00:00:00"/>
    <s v="Yes"/>
    <s v="Toys"/>
    <s v="NA"/>
    <s v="Grace Scott"/>
    <s v="NA"/>
    <s v="Leg Set"/>
    <x v="1"/>
  </r>
  <r>
    <s v="ORD0055"/>
    <s v="CUST037"/>
    <s v="PROD021"/>
    <x v="3"/>
    <n v="36"/>
    <n v="4"/>
    <n v="144"/>
    <s v="PayPal"/>
    <s v="Delivered"/>
    <s v="Amazon Logistics"/>
    <d v="2023-02-02T00:00:00"/>
    <d v="2023-02-06T00:00:00"/>
    <m/>
    <s v="No"/>
    <s v="Home"/>
    <n v="4"/>
    <s v="Emily Johnson"/>
    <s v="Slow"/>
    <s v="Wall Clock"/>
    <x v="1"/>
  </r>
  <r>
    <s v="ORD0056"/>
    <s v="CUST017"/>
    <s v="PROD004"/>
    <x v="4"/>
    <n v="65"/>
    <n v="1"/>
    <n v="65"/>
    <s v="Amazon Pay"/>
    <s v="Delivered"/>
    <s v="FedEx"/>
    <d v="2023-10-18T00:00:00"/>
    <d v="2023-10-21T00:00:00"/>
    <m/>
    <s v="No"/>
    <s v="Toys"/>
    <n v="3"/>
    <s v="Emma King"/>
    <s v="Slow"/>
    <s v="Leg Set"/>
    <x v="1"/>
  </r>
  <r>
    <s v="ORD0057"/>
    <s v="CUST025"/>
    <s v="PROD005"/>
    <x v="3"/>
    <n v="26"/>
    <n v="1"/>
    <n v="26"/>
    <s v="Apple Pay"/>
    <s v="Delivered"/>
    <s v="DHL"/>
    <d v="2023-01-07T00:00:00"/>
    <d v="2023-01-09T00:00:00"/>
    <m/>
    <s v="No"/>
    <s v="Fashion"/>
    <n v="2"/>
    <s v="Emma King"/>
    <s v="Fast"/>
    <s v="T-Shirt"/>
    <x v="1"/>
  </r>
  <r>
    <s v="ORD0058"/>
    <s v="CUST021"/>
    <s v="PROD009"/>
    <x v="0"/>
    <n v="11"/>
    <n v="5"/>
    <n v="55"/>
    <s v="Credit Card"/>
    <s v="In Transit"/>
    <s v="FedEx"/>
    <d v="2023-05-08T00:00:00"/>
    <m/>
    <m/>
    <s v="No"/>
    <s v="Books"/>
    <s v="NA"/>
    <s v="Zoe Mitchell"/>
    <s v="NA"/>
    <s v="Magazine"/>
    <x v="0"/>
  </r>
  <r>
    <s v="ORD0059"/>
    <s v="CUST003"/>
    <s v="PROD013"/>
    <x v="0"/>
    <n v="195"/>
    <n v="4"/>
    <n v="780"/>
    <s v="PayPal"/>
    <s v="Cancelled"/>
    <s v="FedEx"/>
    <d v="2023-04-02T00:00:00"/>
    <m/>
    <d v="2023-04-05T00:00:00"/>
    <s v="Yes"/>
    <s v="Home"/>
    <s v="NA"/>
    <s v="Ethan Davis"/>
    <s v="NA"/>
    <s v="Vacuum Cleaner"/>
    <x v="0"/>
  </r>
  <r>
    <s v="ORD0060"/>
    <s v="CUST019"/>
    <s v="PROD019"/>
    <x v="4"/>
    <n v="44"/>
    <n v="5"/>
    <n v="220"/>
    <s v="Apple Pay"/>
    <s v="Cancelled"/>
    <s v="USPS"/>
    <d v="2023-10-11T00:00:00"/>
    <m/>
    <d v="2023-10-12T00:00:00"/>
    <s v="Yes"/>
    <s v="Fashion"/>
    <s v="NA"/>
    <s v="Ava Robinson"/>
    <s v="NA"/>
    <s v="Formal Shirt"/>
    <x v="1"/>
  </r>
  <r>
    <s v="ORD0061"/>
    <s v="CUST035"/>
    <s v="PROD008"/>
    <x v="1"/>
    <n v="69"/>
    <n v="4"/>
    <n v="276"/>
    <s v="Debit Card"/>
    <s v="In Transit"/>
    <s v="DHL"/>
    <d v="2023-09-10T00:00:00"/>
    <m/>
    <m/>
    <s v="No"/>
    <s v="Books"/>
    <s v="NA"/>
    <s v="Scarlett Adams"/>
    <s v="NA"/>
    <s v="Textbook"/>
    <x v="0"/>
  </r>
  <r>
    <s v="ORD0062"/>
    <s v="CUST022"/>
    <s v="PROD001"/>
    <x v="0"/>
    <n v="815"/>
    <n v="4"/>
    <n v="3260"/>
    <s v="Credit Card"/>
    <s v="Delivered"/>
    <s v="USPS"/>
    <d v="2023-11-22T00:00:00"/>
    <d v="2023-11-29T00:00:00"/>
    <m/>
    <s v="No"/>
    <s v="Electronics"/>
    <n v="7"/>
    <s v="Elijah Lewis"/>
    <s v="Slow"/>
    <s v="Smartphone"/>
    <x v="0"/>
  </r>
  <r>
    <s v="ORD0063"/>
    <s v="CUST004"/>
    <s v="PROD005"/>
    <x v="1"/>
    <n v="27"/>
    <n v="1"/>
    <n v="27"/>
    <s v="Debit Card"/>
    <s v="In Transit"/>
    <s v="Amazon Logistics"/>
    <d v="2023-05-02T00:00:00"/>
    <m/>
    <m/>
    <s v="No"/>
    <s v="Fashion"/>
    <s v="NA"/>
    <s v="Noah Wilson"/>
    <s v="NA"/>
    <s v="T-Shirt"/>
    <x v="1"/>
  </r>
  <r>
    <s v="ORD0064"/>
    <s v="CUST048"/>
    <s v="PROD003"/>
    <x v="4"/>
    <n v="139"/>
    <n v="5"/>
    <n v="695"/>
    <s v="Apple Pay"/>
    <s v="Delivered"/>
    <s v="USPS"/>
    <d v="2023-12-25T00:00:00"/>
    <d v="2023-12-29T00:00:00"/>
    <m/>
    <s v="No"/>
    <s v="Home"/>
    <n v="4"/>
    <s v="Noah Wilson"/>
    <s v="Slow"/>
    <s v="Cookware Set"/>
    <x v="1"/>
  </r>
  <r>
    <s v="ORD0065"/>
    <s v="CUST009"/>
    <s v="PROD008"/>
    <x v="2"/>
    <n v="69"/>
    <n v="3"/>
    <n v="207"/>
    <s v="PayPal"/>
    <s v="Cancelled"/>
    <s v="Amazon Logistics"/>
    <d v="2023-10-18T00:00:00"/>
    <m/>
    <d v="2023-10-20T00:00:00"/>
    <s v="Yes"/>
    <s v="Books"/>
    <s v="NA"/>
    <s v="Jackson Allen"/>
    <s v="NA"/>
    <s v="Textbook"/>
    <x v="1"/>
  </r>
  <r>
    <s v="ORD0066"/>
    <s v="CUST009"/>
    <s v="PROD019"/>
    <x v="4"/>
    <n v="42"/>
    <n v="1"/>
    <n v="42"/>
    <s v="Apple Pay"/>
    <s v="Cancelled"/>
    <s v="DHL"/>
    <d v="2023-05-20T00:00:00"/>
    <m/>
    <d v="2023-05-21T00:00:00"/>
    <s v="Yes"/>
    <s v="Fashion"/>
    <s v="NA"/>
    <s v="Jackson Allen"/>
    <s v="NA"/>
    <s v="Formal Shirt"/>
    <x v="1"/>
  </r>
  <r>
    <s v="ORD0067"/>
    <s v="CUST050"/>
    <s v="PROD007"/>
    <x v="0"/>
    <n v="31"/>
    <n v="4"/>
    <n v="124"/>
    <s v="Credit Card"/>
    <s v="Delivered"/>
    <s v="UPS"/>
    <d v="2023-07-28T00:00:00"/>
    <d v="2023-07-30T00:00:00"/>
    <m/>
    <s v="No"/>
    <s v="Toys"/>
    <n v="2"/>
    <e v="#N/A"/>
    <s v="Fast"/>
    <s v="Puzzle"/>
    <x v="1"/>
  </r>
  <r>
    <s v="ORD0068"/>
    <s v="CUST045"/>
    <s v="PROD020"/>
    <x v="4"/>
    <n v="104"/>
    <n v="3"/>
    <n v="312"/>
    <s v="Credit Card"/>
    <s v="In Transit"/>
    <s v="UPS"/>
    <d v="2023-12-18T00:00:00"/>
    <m/>
    <m/>
    <s v="No"/>
    <s v="Electronics"/>
    <s v="NA"/>
    <s v="Emily Johnson"/>
    <s v="NA"/>
    <s v="Bluetooth Speaker"/>
    <x v="1"/>
  </r>
  <r>
    <s v="ORD0069"/>
    <s v="CUST044"/>
    <s v="PROD010"/>
    <x v="1"/>
    <n v="58"/>
    <n v="2"/>
    <n v="116"/>
    <s v="Apple Pay"/>
    <s v="Cancelled"/>
    <s v="USPS"/>
    <d v="2023-07-02T00:00:00"/>
    <m/>
    <d v="2023-07-07T00:00:00"/>
    <s v="Yes"/>
    <s v="Fashion"/>
    <s v="NA"/>
    <s v="Grace Ward"/>
    <s v="NA"/>
    <s v="Jeans"/>
    <x v="1"/>
  </r>
  <r>
    <s v="ORD0070"/>
    <s v="CUST009"/>
    <s v="PROD004"/>
    <x v="4"/>
    <n v="62"/>
    <n v="2"/>
    <n v="124"/>
    <s v="Debit Card"/>
    <s v="Cancelled"/>
    <s v="DHL"/>
    <d v="2023-10-09T00:00:00"/>
    <m/>
    <d v="2023-10-10T00:00:00"/>
    <s v="Yes"/>
    <s v="Toys"/>
    <s v="NA"/>
    <s v="Jackson Allen"/>
    <s v="NA"/>
    <s v="Leg Set"/>
    <x v="1"/>
  </r>
  <r>
    <s v="ORD0071"/>
    <s v="CUST006"/>
    <s v="PROD019"/>
    <x v="1"/>
    <n v="43"/>
    <n v="1"/>
    <n v="43"/>
    <s v="Credit Card"/>
    <s v="Delivered"/>
    <s v="Amazon Logistics"/>
    <d v="2023-12-18T00:00:00"/>
    <d v="2023-12-25T00:00:00"/>
    <m/>
    <s v="No"/>
    <s v="Fashion"/>
    <n v="7"/>
    <s v="Ava Robinson"/>
    <s v="Slow"/>
    <s v="Formal Shirt"/>
    <x v="1"/>
  </r>
  <r>
    <s v="ORD0072"/>
    <s v="CUST022"/>
    <s v="PROD004"/>
    <x v="1"/>
    <n v="62"/>
    <n v="4"/>
    <n v="248"/>
    <s v="Debit Card"/>
    <s v="In Transit"/>
    <s v="Amazon Logistics"/>
    <d v="2023-03-07T00:00:00"/>
    <m/>
    <m/>
    <s v="No"/>
    <s v="Toys"/>
    <s v="NA"/>
    <s v="Elijah Lewis"/>
    <s v="NA"/>
    <s v="Leg Set"/>
    <x v="1"/>
  </r>
  <r>
    <s v="ORD0073"/>
    <s v="CUST028"/>
    <s v="PROD006"/>
    <x v="0"/>
    <n v="95"/>
    <n v="2"/>
    <n v="190"/>
    <s v="PayPal"/>
    <s v="Cancelled"/>
    <s v="UPS"/>
    <d v="2023-07-22T00:00:00"/>
    <m/>
    <d v="2023-07-25T00:00:00"/>
    <s v="Yes"/>
    <s v="Fashion"/>
    <s v="NA"/>
    <s v="Lily Bennett"/>
    <s v="NA"/>
    <s v="Shoes"/>
    <x v="1"/>
  </r>
  <r>
    <s v="ORD0074"/>
    <s v="CUST016"/>
    <s v="PROD021"/>
    <x v="3"/>
    <n v="36"/>
    <n v="4"/>
    <n v="144"/>
    <s v="Apple Pay"/>
    <s v="Delivered"/>
    <s v="FedEx"/>
    <d v="2023-01-18T00:00:00"/>
    <d v="2023-01-24T00:00:00"/>
    <m/>
    <s v="No"/>
    <s v="Home"/>
    <n v="6"/>
    <s v="Elijah Lewis"/>
    <s v="Slow"/>
    <s v="Wall Clock"/>
    <x v="1"/>
  </r>
  <r>
    <s v="ORD0075"/>
    <s v="CUST042"/>
    <s v="PROD017"/>
    <x v="1"/>
    <n v="73"/>
    <n v="5"/>
    <n v="365"/>
    <s v="Apple Pay"/>
    <s v="In Transit"/>
    <s v="DHL"/>
    <d v="2023-05-24T00:00:00"/>
    <m/>
    <m/>
    <s v="No"/>
    <s v="Electronics"/>
    <s v="NA"/>
    <s v="Noah Wilson"/>
    <s v="NA"/>
    <s v="Gaming Mouse"/>
    <x v="1"/>
  </r>
  <r>
    <s v="ORD0076"/>
    <s v="CUST023"/>
    <s v="PROD019"/>
    <x v="0"/>
    <n v="43"/>
    <n v="4"/>
    <n v="172"/>
    <s v="Debit Card"/>
    <s v="Delivered"/>
    <s v="DHL"/>
    <d v="2023-09-03T00:00:00"/>
    <d v="2023-09-09T00:00:00"/>
    <m/>
    <s v="No"/>
    <s v="Fashion"/>
    <n v="6"/>
    <s v="Charlotte Reed"/>
    <s v="Slow"/>
    <s v="Formal Shirt"/>
    <x v="1"/>
  </r>
  <r>
    <s v="ORD0077"/>
    <s v="CUST004"/>
    <s v="PROD016"/>
    <x v="4"/>
    <n v="214"/>
    <n v="5"/>
    <n v="1070"/>
    <s v="Debit Card"/>
    <s v="Delivered"/>
    <s v="UPS"/>
    <d v="2023-11-02T00:00:00"/>
    <d v="2023-11-04T00:00:00"/>
    <m/>
    <s v="No"/>
    <s v="Home"/>
    <n v="2"/>
    <s v="Noah Wilson"/>
    <s v="Fast"/>
    <s v="Cookware Set Pro"/>
    <x v="1"/>
  </r>
  <r>
    <s v="ORD0078"/>
    <s v="CUST048"/>
    <s v="PROD002"/>
    <x v="3"/>
    <n v="42"/>
    <n v="2"/>
    <n v="84"/>
    <s v="Apple Pay"/>
    <s v="Cancelled"/>
    <s v="UPS"/>
    <d v="2023-12-03T00:00:00"/>
    <m/>
    <d v="2023-12-06T00:00:00"/>
    <s v="Yes"/>
    <s v="Toys"/>
    <s v="NA"/>
    <s v="Noah Wilson"/>
    <s v="NA"/>
    <s v="Action Figure"/>
    <x v="1"/>
  </r>
  <r>
    <s v="ORD0079"/>
    <s v="CUST048"/>
    <s v="PROD012"/>
    <x v="0"/>
    <n v="46"/>
    <n v="1"/>
    <n v="46"/>
    <s v="Amazon Pay"/>
    <s v="In Transit"/>
    <s v="UPS"/>
    <d v="2023-04-01T00:00:00"/>
    <m/>
    <m/>
    <s v="No"/>
    <s v="Home"/>
    <s v="NA"/>
    <s v="Noah Wilson"/>
    <s v="NA"/>
    <s v="Lamp"/>
    <x v="1"/>
  </r>
  <r>
    <s v="ORD0080"/>
    <s v="CUST032"/>
    <s v="PROD018"/>
    <x v="1"/>
    <n v="95"/>
    <n v="4"/>
    <n v="380"/>
    <s v="Credit Card"/>
    <s v="Delivered"/>
    <s v="UPS"/>
    <d v="2023-10-16T00:00:00"/>
    <d v="2023-10-19T00:00:00"/>
    <m/>
    <s v="No"/>
    <s v="Toys"/>
    <n v="3"/>
    <s v="Luke Gray"/>
    <s v="Slow"/>
    <s v="Doll House"/>
    <x v="1"/>
  </r>
  <r>
    <s v="ORD0081"/>
    <s v="CUST001"/>
    <s v="PROD011"/>
    <x v="4"/>
    <n v="174"/>
    <n v="2"/>
    <n v="348"/>
    <s v="PayPal"/>
    <s v="In Transit"/>
    <s v="UPS"/>
    <d v="2023-11-05T00:00:00"/>
    <m/>
    <m/>
    <s v="No"/>
    <s v="Electronics"/>
    <s v="NA"/>
    <s v="James Miller"/>
    <s v="NA"/>
    <s v="Headphones"/>
    <x v="1"/>
  </r>
  <r>
    <s v="ORD0082"/>
    <s v="CUST046"/>
    <s v="PROD005"/>
    <x v="0"/>
    <n v="27"/>
    <n v="5"/>
    <n v="135"/>
    <s v="Credit Card"/>
    <s v="Cancelled"/>
    <s v="Amazon Logistics"/>
    <d v="2023-06-15T00:00:00"/>
    <m/>
    <d v="2023-06-18T00:00:00"/>
    <s v="Yes"/>
    <s v="Fashion"/>
    <s v="NA"/>
    <s v="Emily Johnson"/>
    <s v="NA"/>
    <s v="T-Shirt"/>
    <x v="1"/>
  </r>
  <r>
    <s v="ORD0083"/>
    <s v="CUST021"/>
    <s v="PROD005"/>
    <x v="2"/>
    <n v="27"/>
    <n v="4"/>
    <n v="108"/>
    <s v="PayPal"/>
    <s v="Delivered"/>
    <s v="USPS"/>
    <d v="2023-10-28T00:00:00"/>
    <d v="2023-10-30T00:00:00"/>
    <m/>
    <s v="No"/>
    <s v="Fashion"/>
    <n v="2"/>
    <s v="Zoe Mitchell"/>
    <s v="Fast"/>
    <s v="T-Shirt"/>
    <x v="1"/>
  </r>
  <r>
    <s v="ORD0084"/>
    <s v="CUST015"/>
    <s v="PROD022"/>
    <x v="2"/>
    <n v="65"/>
    <n v="2"/>
    <n v="130"/>
    <s v="PayPal"/>
    <s v="In Transit"/>
    <s v="DHL"/>
    <d v="2023-12-22T00:00:00"/>
    <m/>
    <m/>
    <s v="No"/>
    <s v="Fashion"/>
    <s v="NA"/>
    <s v="Ava White"/>
    <s v="NA"/>
    <s v="Backpack"/>
    <x v="1"/>
  </r>
  <r>
    <s v="ORD0085"/>
    <s v="CUST045"/>
    <s v="PROD019"/>
    <x v="1"/>
    <n v="43"/>
    <n v="5"/>
    <n v="215"/>
    <s v="Debit Card"/>
    <s v="In Transit"/>
    <s v="DHL"/>
    <d v="2023-03-07T00:00:00"/>
    <m/>
    <m/>
    <s v="No"/>
    <s v="Fashion"/>
    <s v="NA"/>
    <s v="Emily Johnson"/>
    <s v="NA"/>
    <s v="Formal Shirt"/>
    <x v="1"/>
  </r>
  <r>
    <s v="ORD0086"/>
    <s v="CUST007"/>
    <s v="PROD016"/>
    <x v="4"/>
    <n v="210"/>
    <n v="1"/>
    <n v="210"/>
    <s v="PayPal"/>
    <s v="In Transit"/>
    <s v="UPS"/>
    <d v="2023-11-10T00:00:00"/>
    <m/>
    <m/>
    <s v="No"/>
    <s v="Home"/>
    <s v="NA"/>
    <s v="Liam Walker"/>
    <s v="NA"/>
    <s v="Cookware Set Pro"/>
    <x v="1"/>
  </r>
  <r>
    <s v="ORD0087"/>
    <s v="CUST043"/>
    <s v="PROD021"/>
    <x v="2"/>
    <n v="37"/>
    <n v="3"/>
    <n v="111"/>
    <s v="Credit Card"/>
    <s v="In Transit"/>
    <s v="UPS"/>
    <d v="2023-11-22T00:00:00"/>
    <m/>
    <m/>
    <s v="No"/>
    <s v="Home"/>
    <s v="NA"/>
    <s v="Lily Reed"/>
    <s v="NA"/>
    <s v="Wall Clock"/>
    <x v="1"/>
  </r>
  <r>
    <s v="ORD0088"/>
    <s v="CUST007"/>
    <s v="PROD001"/>
    <x v="2"/>
    <n v="788"/>
    <n v="4"/>
    <n v="3152"/>
    <s v="Debit Card"/>
    <s v="In Transit"/>
    <s v="Amazon Logistics"/>
    <d v="2023-05-08T00:00:00"/>
    <m/>
    <m/>
    <s v="No"/>
    <s v="Electronics"/>
    <s v="NA"/>
    <s v="Liam Walker"/>
    <s v="NA"/>
    <s v="Smartphone"/>
    <x v="1"/>
  </r>
  <r>
    <s v="ORD0089"/>
    <s v="CUST007"/>
    <s v="PROD016"/>
    <x v="4"/>
    <n v="217"/>
    <n v="5"/>
    <n v="1085"/>
    <s v="Debit Card"/>
    <s v="In Transit"/>
    <s v="FedEx"/>
    <d v="2023-07-13T00:00:00"/>
    <m/>
    <m/>
    <s v="No"/>
    <s v="Home"/>
    <s v="NA"/>
    <s v="Liam Walker"/>
    <s v="NA"/>
    <s v="Cookware Set Pro"/>
    <x v="1"/>
  </r>
  <r>
    <s v="ORD0090"/>
    <s v="CUST007"/>
    <s v="PROD003"/>
    <x v="4"/>
    <n v="138"/>
    <n v="4"/>
    <n v="552"/>
    <s v="Credit Card"/>
    <s v="In Transit"/>
    <s v="FedEx"/>
    <d v="2023-01-18T00:00:00"/>
    <m/>
    <m/>
    <s v="No"/>
    <s v="Home"/>
    <s v="NA"/>
    <s v="Liam Walker"/>
    <s v="NA"/>
    <s v="Cookware Set"/>
    <x v="1"/>
  </r>
  <r>
    <s v="ORD0091"/>
    <s v="CUST031"/>
    <s v="PROD001"/>
    <x v="3"/>
    <n v="803"/>
    <n v="2"/>
    <n v="1606"/>
    <s v="Apple Pay"/>
    <s v="Delivered"/>
    <s v="FedEx"/>
    <d v="2023-06-23T00:00:00"/>
    <d v="2023-06-29T00:00:00"/>
    <m/>
    <s v="No"/>
    <s v="Electronics"/>
    <n v="6"/>
    <s v="Mason Collins"/>
    <s v="Slow"/>
    <s v="Smartphone"/>
    <x v="1"/>
  </r>
  <r>
    <s v="ORD0092"/>
    <s v="CUST013"/>
    <s v="PROD014"/>
    <x v="0"/>
    <n v="248"/>
    <n v="5"/>
    <n v="1240"/>
    <s v="PayPal"/>
    <s v="Cancelled"/>
    <s v="UPS"/>
    <d v="2023-02-21T00:00:00"/>
    <m/>
    <d v="2023-02-25T00:00:00"/>
    <s v="Yes"/>
    <s v="Electronics"/>
    <s v="NA"/>
    <s v="Olivia Martinez"/>
    <s v="NA"/>
    <s v="Smartwatch"/>
    <x v="1"/>
  </r>
  <r>
    <s v="ORD0093"/>
    <s v="CUST036"/>
    <s v="PROD016"/>
    <x v="1"/>
    <n v="210"/>
    <n v="3"/>
    <n v="630"/>
    <s v="Apple Pay"/>
    <s v="Delivered"/>
    <s v="DHL"/>
    <d v="2023-02-19T00:00:00"/>
    <d v="2023-02-21T00:00:00"/>
    <m/>
    <s v="No"/>
    <s v="Home"/>
    <n v="2"/>
    <s v="Ethan Davis"/>
    <s v="Fast"/>
    <s v="Cookware Set Pro"/>
    <x v="1"/>
  </r>
  <r>
    <s v="ORD0094"/>
    <s v="CUST013"/>
    <s v="PROD004"/>
    <x v="0"/>
    <n v="62"/>
    <n v="2"/>
    <n v="124"/>
    <s v="Credit Card"/>
    <s v="Cancelled"/>
    <s v="FedEx"/>
    <d v="2023-12-05T00:00:00"/>
    <m/>
    <d v="2023-12-12T00:00:00"/>
    <s v="Yes"/>
    <s v="Toys"/>
    <s v="NA"/>
    <s v="Olivia Martinez"/>
    <s v="NA"/>
    <s v="Leg Set"/>
    <x v="1"/>
  </r>
  <r>
    <s v="ORD0095"/>
    <s v="CUST043"/>
    <s v="PROD009"/>
    <x v="2"/>
    <n v="11"/>
    <n v="5"/>
    <n v="55"/>
    <s v="Debit Card"/>
    <s v="Cancelled"/>
    <s v="Amazon Logistics"/>
    <d v="2023-06-07T00:00:00"/>
    <m/>
    <d v="2023-06-12T00:00:00"/>
    <s v="Yes"/>
    <s v="Books"/>
    <s v="NA"/>
    <s v="Lily Reed"/>
    <s v="NA"/>
    <s v="Magazine"/>
    <x v="1"/>
  </r>
  <r>
    <s v="ORD0096"/>
    <s v="CUST017"/>
    <s v="PROD015"/>
    <x v="0"/>
    <n v="21"/>
    <n v="2"/>
    <n v="42"/>
    <s v="Amazon Pay"/>
    <s v="Delivered"/>
    <s v="UPS"/>
    <d v="2023-07-09T00:00:00"/>
    <d v="2023-07-12T00:00:00"/>
    <m/>
    <s v="No"/>
    <s v="Books"/>
    <n v="3"/>
    <s v="Emma King"/>
    <s v="Slow"/>
    <s v="Novel"/>
    <x v="1"/>
  </r>
  <r>
    <s v="ORD0097"/>
    <s v="CUST023"/>
    <s v="PROD018"/>
    <x v="4"/>
    <n v="95"/>
    <n v="5"/>
    <n v="475"/>
    <s v="Amazon Pay"/>
    <s v="Delivered"/>
    <s v="Amazon Logistics"/>
    <d v="2023-12-23T00:00:00"/>
    <d v="2023-12-26T00:00:00"/>
    <m/>
    <s v="No"/>
    <s v="Toys"/>
    <n v="3"/>
    <s v="Charlotte Reed"/>
    <s v="Slow"/>
    <s v="Doll House"/>
    <x v="1"/>
  </r>
  <r>
    <s v="ORD0098"/>
    <s v="CUST044"/>
    <s v="PROD016"/>
    <x v="2"/>
    <n v="215"/>
    <n v="2"/>
    <n v="430"/>
    <s v="PayPal"/>
    <s v="Delivered"/>
    <s v="Amazon Logistics"/>
    <d v="2023-09-25T00:00:00"/>
    <d v="2023-09-30T00:00:00"/>
    <m/>
    <s v="No"/>
    <s v="Home"/>
    <n v="5"/>
    <s v="Grace Ward"/>
    <s v="Slow"/>
    <s v="Cookware Set Pro"/>
    <x v="1"/>
  </r>
  <r>
    <s v="ORD0099"/>
    <s v="CUST034"/>
    <s v="PROD019"/>
    <x v="4"/>
    <n v="43"/>
    <n v="5"/>
    <n v="215"/>
    <s v="Credit Card"/>
    <s v="Cancelled"/>
    <s v="UPS"/>
    <d v="2023-01-18T00:00:00"/>
    <m/>
    <d v="2023-01-24T00:00:00"/>
    <s v="Yes"/>
    <s v="Fashion"/>
    <s v="NA"/>
    <s v="Lily Simmons"/>
    <s v="NA"/>
    <s v="Formal Shirt"/>
    <x v="1"/>
  </r>
  <r>
    <s v="ORD0100"/>
    <s v="CUST009"/>
    <s v="PROD002"/>
    <x v="4"/>
    <n v="42"/>
    <n v="4"/>
    <n v="168"/>
    <s v="Debit Card"/>
    <s v="In Transit"/>
    <s v="DHL"/>
    <d v="2023-03-27T00:00:00"/>
    <m/>
    <m/>
    <s v="No"/>
    <s v="Toys"/>
    <s v="NA"/>
    <s v="Jackson Allen"/>
    <s v="NA"/>
    <s v="Action Figure"/>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x v="0"/>
    <n v="1"/>
    <x v="0"/>
    <x v="0"/>
    <x v="0"/>
    <s v="DHL"/>
    <x v="0"/>
    <m/>
    <d v="2024-01-02T00:00:00"/>
    <x v="0"/>
    <x v="0"/>
    <s v="NA"/>
    <s v="Zoe Mitchell"/>
    <x v="0"/>
    <x v="0"/>
  </r>
  <r>
    <s v="ORD0002"/>
    <s v="CUST029"/>
    <s v="PROD018"/>
    <x v="1"/>
    <x v="1"/>
    <n v="4"/>
    <x v="1"/>
    <x v="1"/>
    <x v="1"/>
    <s v="DHL"/>
    <x v="1"/>
    <d v="2023-02-24T00:00:00"/>
    <m/>
    <x v="1"/>
    <x v="1"/>
    <n v="2"/>
    <s v="Ava White"/>
    <x v="1"/>
    <x v="1"/>
  </r>
  <r>
    <s v="ORD0003"/>
    <s v="CUST021"/>
    <s v="PROD013"/>
    <x v="2"/>
    <x v="2"/>
    <n v="4"/>
    <x v="2"/>
    <x v="1"/>
    <x v="2"/>
    <s v="USPS"/>
    <x v="2"/>
    <m/>
    <m/>
    <x v="1"/>
    <x v="0"/>
    <s v="NA"/>
    <s v="Zoe Mitchell"/>
    <x v="0"/>
    <x v="2"/>
  </r>
  <r>
    <s v="ORD0004"/>
    <s v="CUST044"/>
    <s v="PROD013"/>
    <x v="0"/>
    <x v="3"/>
    <n v="3"/>
    <x v="3"/>
    <x v="2"/>
    <x v="0"/>
    <s v="UPS"/>
    <x v="3"/>
    <m/>
    <d v="2023-05-11T00:00:00"/>
    <x v="0"/>
    <x v="0"/>
    <s v="NA"/>
    <s v="Grace Ward"/>
    <x v="0"/>
    <x v="2"/>
  </r>
  <r>
    <s v="ORD0005"/>
    <s v="CUST027"/>
    <s v="PROD010"/>
    <x v="0"/>
    <x v="4"/>
    <n v="1"/>
    <x v="4"/>
    <x v="2"/>
    <x v="1"/>
    <s v="Amazon Logistics"/>
    <x v="4"/>
    <d v="2023-02-05T00:00:00"/>
    <m/>
    <x v="1"/>
    <x v="2"/>
    <n v="3"/>
    <s v="Hazel Brooks"/>
    <x v="2"/>
    <x v="3"/>
  </r>
  <r>
    <s v="ORD0006"/>
    <s v="CUST009"/>
    <s v="PROD010"/>
    <x v="0"/>
    <x v="5"/>
    <n v="4"/>
    <x v="5"/>
    <x v="3"/>
    <x v="0"/>
    <s v="DHL"/>
    <x v="5"/>
    <m/>
    <d v="2023-11-02T00:00:00"/>
    <x v="0"/>
    <x v="2"/>
    <s v="NA"/>
    <s v="Jackson Allen"/>
    <x v="0"/>
    <x v="3"/>
  </r>
  <r>
    <s v="ORD0007"/>
    <s v="CUST042"/>
    <s v="PROD020"/>
    <x v="3"/>
    <x v="6"/>
    <n v="3"/>
    <x v="6"/>
    <x v="4"/>
    <x v="0"/>
    <s v="DHL"/>
    <x v="6"/>
    <m/>
    <d v="2023-08-18T00:00:00"/>
    <x v="0"/>
    <x v="3"/>
    <s v="NA"/>
    <s v="Noah Wilson"/>
    <x v="0"/>
    <x v="4"/>
  </r>
  <r>
    <s v="ORD0008"/>
    <s v="CUST019"/>
    <s v="PROD021"/>
    <x v="4"/>
    <x v="7"/>
    <n v="5"/>
    <x v="7"/>
    <x v="2"/>
    <x v="0"/>
    <s v="DHL"/>
    <x v="7"/>
    <m/>
    <d v="2023-04-06T00:00:00"/>
    <x v="0"/>
    <x v="0"/>
    <s v="NA"/>
    <s v="Ava Robinson"/>
    <x v="0"/>
    <x v="5"/>
  </r>
  <r>
    <s v="ORD0009"/>
    <s v="CUST013"/>
    <s v="PROD019"/>
    <x v="3"/>
    <x v="0"/>
    <n v="2"/>
    <x v="8"/>
    <x v="1"/>
    <x v="2"/>
    <s v="Amazon Logistics"/>
    <x v="8"/>
    <m/>
    <m/>
    <x v="1"/>
    <x v="2"/>
    <s v="NA"/>
    <s v="Olivia Martinez"/>
    <x v="0"/>
    <x v="6"/>
  </r>
  <r>
    <s v="ORD0010"/>
    <s v="CUST019"/>
    <s v="PROD003"/>
    <x v="2"/>
    <x v="8"/>
    <n v="4"/>
    <x v="9"/>
    <x v="4"/>
    <x v="2"/>
    <s v="DHL"/>
    <x v="9"/>
    <m/>
    <m/>
    <x v="1"/>
    <x v="0"/>
    <s v="NA"/>
    <s v="Ava Robinson"/>
    <x v="0"/>
    <x v="7"/>
  </r>
  <r>
    <s v="ORD0011"/>
    <s v="CUST046"/>
    <s v="PROD014"/>
    <x v="2"/>
    <x v="9"/>
    <n v="1"/>
    <x v="10"/>
    <x v="3"/>
    <x v="0"/>
    <s v="USPS"/>
    <x v="10"/>
    <m/>
    <d v="2023-05-08T00:00:00"/>
    <x v="0"/>
    <x v="3"/>
    <s v="NA"/>
    <s v="Emily Johnson"/>
    <x v="0"/>
    <x v="8"/>
  </r>
  <r>
    <s v="ORD0012"/>
    <s v="CUST045"/>
    <s v="PROD014"/>
    <x v="3"/>
    <x v="10"/>
    <n v="3"/>
    <x v="11"/>
    <x v="3"/>
    <x v="2"/>
    <s v="FedEx"/>
    <x v="11"/>
    <m/>
    <m/>
    <x v="1"/>
    <x v="3"/>
    <s v="NA"/>
    <s v="Emily Johnson"/>
    <x v="0"/>
    <x v="8"/>
  </r>
  <r>
    <s v="ORD0013"/>
    <s v="CUST023"/>
    <s v="PROD006"/>
    <x v="3"/>
    <x v="1"/>
    <n v="1"/>
    <x v="12"/>
    <x v="0"/>
    <x v="0"/>
    <s v="Amazon Logistics"/>
    <x v="12"/>
    <m/>
    <d v="2023-02-28T00:00:00"/>
    <x v="0"/>
    <x v="2"/>
    <s v="NA"/>
    <s v="Charlotte Reed"/>
    <x v="0"/>
    <x v="9"/>
  </r>
  <r>
    <s v="ORD0014"/>
    <s v="CUST033"/>
    <s v="PROD017"/>
    <x v="4"/>
    <x v="11"/>
    <n v="5"/>
    <x v="13"/>
    <x v="0"/>
    <x v="0"/>
    <s v="Amazon Logistics"/>
    <x v="13"/>
    <m/>
    <d v="2023-02-25T00:00:00"/>
    <x v="0"/>
    <x v="3"/>
    <s v="NA"/>
    <s v="Hazel Rivera"/>
    <x v="0"/>
    <x v="10"/>
  </r>
  <r>
    <s v="ORD0015"/>
    <s v="CUST033"/>
    <s v="PROD005"/>
    <x v="2"/>
    <x v="12"/>
    <n v="1"/>
    <x v="14"/>
    <x v="1"/>
    <x v="0"/>
    <s v="Amazon Logistics"/>
    <x v="14"/>
    <m/>
    <d v="2023-09-02T00:00:00"/>
    <x v="0"/>
    <x v="2"/>
    <s v="NA"/>
    <s v="Hazel Rivera"/>
    <x v="0"/>
    <x v="11"/>
  </r>
  <r>
    <s v="ORD0016"/>
    <s v="CUST047"/>
    <s v="PROD005"/>
    <x v="2"/>
    <x v="12"/>
    <n v="3"/>
    <x v="15"/>
    <x v="4"/>
    <x v="2"/>
    <s v="Amazon Logistics"/>
    <x v="15"/>
    <m/>
    <m/>
    <x v="1"/>
    <x v="2"/>
    <s v="NA"/>
    <s v="Scarlett Murphy"/>
    <x v="0"/>
    <x v="11"/>
  </r>
  <r>
    <s v="ORD0017"/>
    <s v="CUST045"/>
    <s v="PROD015"/>
    <x v="1"/>
    <x v="13"/>
    <n v="3"/>
    <x v="16"/>
    <x v="1"/>
    <x v="1"/>
    <s v="DHL"/>
    <x v="16"/>
    <d v="2023-07-01T00:00:00"/>
    <m/>
    <x v="1"/>
    <x v="4"/>
    <n v="3"/>
    <s v="Emily Johnson"/>
    <x v="2"/>
    <x v="12"/>
  </r>
  <r>
    <s v="ORD0018"/>
    <s v="CUST011"/>
    <s v="PROD008"/>
    <x v="4"/>
    <x v="14"/>
    <n v="5"/>
    <x v="17"/>
    <x v="2"/>
    <x v="2"/>
    <s v="Amazon Logistics"/>
    <x v="17"/>
    <m/>
    <m/>
    <x v="1"/>
    <x v="4"/>
    <s v="NA"/>
    <s v="Mason Hall"/>
    <x v="0"/>
    <x v="13"/>
  </r>
  <r>
    <s v="ORD0019"/>
    <s v="CUST041"/>
    <s v="PROD006"/>
    <x v="2"/>
    <x v="15"/>
    <n v="4"/>
    <x v="18"/>
    <x v="1"/>
    <x v="2"/>
    <s v="USPS"/>
    <x v="18"/>
    <m/>
    <m/>
    <x v="1"/>
    <x v="2"/>
    <s v="NA"/>
    <s v="Jacob Price"/>
    <x v="0"/>
    <x v="9"/>
  </r>
  <r>
    <s v="ORD0020"/>
    <s v="CUST025"/>
    <s v="PROD001"/>
    <x v="0"/>
    <x v="16"/>
    <n v="2"/>
    <x v="19"/>
    <x v="1"/>
    <x v="2"/>
    <s v="FedEx"/>
    <x v="19"/>
    <m/>
    <m/>
    <x v="1"/>
    <x v="3"/>
    <s v="NA"/>
    <s v="Emma King"/>
    <x v="0"/>
    <x v="14"/>
  </r>
  <r>
    <s v="ORD0021"/>
    <s v="CUST013"/>
    <s v="PROD015"/>
    <x v="3"/>
    <x v="13"/>
    <n v="4"/>
    <x v="20"/>
    <x v="2"/>
    <x v="2"/>
    <s v="Amazon Logistics"/>
    <x v="20"/>
    <m/>
    <m/>
    <x v="1"/>
    <x v="4"/>
    <s v="NA"/>
    <s v="Olivia Martinez"/>
    <x v="0"/>
    <x v="12"/>
  </r>
  <r>
    <s v="ORD0022"/>
    <s v="CUST023"/>
    <s v="PROD012"/>
    <x v="4"/>
    <x v="17"/>
    <n v="5"/>
    <x v="21"/>
    <x v="2"/>
    <x v="2"/>
    <s v="USPS"/>
    <x v="21"/>
    <m/>
    <m/>
    <x v="1"/>
    <x v="0"/>
    <s v="NA"/>
    <s v="Charlotte Reed"/>
    <x v="0"/>
    <x v="0"/>
  </r>
  <r>
    <s v="ORD0023"/>
    <s v="CUST016"/>
    <s v="PROD010"/>
    <x v="4"/>
    <x v="5"/>
    <n v="3"/>
    <x v="22"/>
    <x v="3"/>
    <x v="0"/>
    <s v="Amazon Logistics"/>
    <x v="15"/>
    <m/>
    <d v="2023-02-14T00:00:00"/>
    <x v="0"/>
    <x v="2"/>
    <s v="NA"/>
    <s v="Elijah Lewis"/>
    <x v="0"/>
    <x v="3"/>
  </r>
  <r>
    <s v="ORD0024"/>
    <s v="CUST028"/>
    <s v="PROD006"/>
    <x v="4"/>
    <x v="1"/>
    <n v="5"/>
    <x v="23"/>
    <x v="3"/>
    <x v="1"/>
    <s v="Amazon Logistics"/>
    <x v="22"/>
    <d v="2023-11-05T00:00:00"/>
    <m/>
    <x v="1"/>
    <x v="2"/>
    <n v="3"/>
    <s v="Lily Bennett"/>
    <x v="2"/>
    <x v="9"/>
  </r>
  <r>
    <s v="ORD0025"/>
    <s v="CUST040"/>
    <s v="PROD002"/>
    <x v="2"/>
    <x v="18"/>
    <n v="1"/>
    <x v="24"/>
    <x v="4"/>
    <x v="1"/>
    <s v="Amazon Logistics"/>
    <x v="23"/>
    <d v="2023-05-30T00:00:00"/>
    <m/>
    <x v="1"/>
    <x v="1"/>
    <n v="2"/>
    <s v="Benjamin Clark"/>
    <x v="1"/>
    <x v="15"/>
  </r>
  <r>
    <s v="ORD0026"/>
    <s v="CUST027"/>
    <s v="PROD022"/>
    <x v="2"/>
    <x v="19"/>
    <n v="4"/>
    <x v="25"/>
    <x v="4"/>
    <x v="1"/>
    <s v="USPS"/>
    <x v="24"/>
    <d v="2023-10-21T00:00:00"/>
    <m/>
    <x v="1"/>
    <x v="2"/>
    <n v="6"/>
    <s v="Hazel Brooks"/>
    <x v="2"/>
    <x v="16"/>
  </r>
  <r>
    <s v="ORD0027"/>
    <s v="CUST018"/>
    <s v="PROD008"/>
    <x v="2"/>
    <x v="14"/>
    <n v="2"/>
    <x v="26"/>
    <x v="3"/>
    <x v="2"/>
    <s v="Amazon Logistics"/>
    <x v="25"/>
    <m/>
    <m/>
    <x v="1"/>
    <x v="4"/>
    <s v="NA"/>
    <s v="Grace Scott"/>
    <x v="0"/>
    <x v="13"/>
  </r>
  <r>
    <s v="ORD0028"/>
    <s v="CUST018"/>
    <s v="PROD018"/>
    <x v="3"/>
    <x v="20"/>
    <n v="3"/>
    <x v="27"/>
    <x v="1"/>
    <x v="2"/>
    <s v="Amazon Logistics"/>
    <x v="26"/>
    <m/>
    <m/>
    <x v="1"/>
    <x v="1"/>
    <s v="NA"/>
    <s v="Grace Scott"/>
    <x v="0"/>
    <x v="1"/>
  </r>
  <r>
    <s v="ORD0029"/>
    <s v="CUST007"/>
    <s v="PROD021"/>
    <x v="1"/>
    <x v="7"/>
    <n v="3"/>
    <x v="28"/>
    <x v="0"/>
    <x v="0"/>
    <s v="DHL"/>
    <x v="27"/>
    <m/>
    <d v="2023-10-10T00:00:00"/>
    <x v="0"/>
    <x v="0"/>
    <s v="NA"/>
    <s v="Liam Walker"/>
    <x v="0"/>
    <x v="5"/>
  </r>
  <r>
    <s v="ORD0030"/>
    <s v="CUST008"/>
    <s v="PROD008"/>
    <x v="0"/>
    <x v="21"/>
    <n v="5"/>
    <x v="29"/>
    <x v="3"/>
    <x v="2"/>
    <s v="Amazon Logistics"/>
    <x v="28"/>
    <m/>
    <m/>
    <x v="1"/>
    <x v="4"/>
    <s v="NA"/>
    <s v="Harper Young"/>
    <x v="0"/>
    <x v="13"/>
  </r>
  <r>
    <s v="ORD0031"/>
    <s v="CUST014"/>
    <s v="PROD002"/>
    <x v="0"/>
    <x v="22"/>
    <n v="5"/>
    <x v="30"/>
    <x v="3"/>
    <x v="2"/>
    <s v="UPS"/>
    <x v="29"/>
    <m/>
    <m/>
    <x v="1"/>
    <x v="1"/>
    <s v="NA"/>
    <s v="Harper Young"/>
    <x v="0"/>
    <x v="15"/>
  </r>
  <r>
    <s v="ORD0032"/>
    <s v="CUST037"/>
    <s v="PROD009"/>
    <x v="1"/>
    <x v="23"/>
    <n v="5"/>
    <x v="31"/>
    <x v="4"/>
    <x v="0"/>
    <s v="FedEx"/>
    <x v="30"/>
    <m/>
    <d v="2023-06-22T00:00:00"/>
    <x v="0"/>
    <x v="4"/>
    <s v="NA"/>
    <s v="Emily Johnson"/>
    <x v="0"/>
    <x v="17"/>
  </r>
  <r>
    <s v="ORD0033"/>
    <s v="CUST016"/>
    <s v="PROD005"/>
    <x v="2"/>
    <x v="12"/>
    <n v="2"/>
    <x v="32"/>
    <x v="0"/>
    <x v="1"/>
    <s v="USPS"/>
    <x v="31"/>
    <d v="2023-05-23T00:00:00"/>
    <m/>
    <x v="1"/>
    <x v="2"/>
    <n v="1"/>
    <s v="Elijah Lewis"/>
    <x v="1"/>
    <x v="11"/>
  </r>
  <r>
    <s v="ORD0034"/>
    <s v="CUST025"/>
    <s v="PROD015"/>
    <x v="2"/>
    <x v="13"/>
    <n v="1"/>
    <x v="33"/>
    <x v="3"/>
    <x v="2"/>
    <s v="DHL"/>
    <x v="32"/>
    <m/>
    <m/>
    <x v="1"/>
    <x v="4"/>
    <s v="NA"/>
    <s v="Emma King"/>
    <x v="0"/>
    <x v="12"/>
  </r>
  <r>
    <s v="ORD0035"/>
    <s v="CUST032"/>
    <s v="PROD011"/>
    <x v="2"/>
    <x v="24"/>
    <n v="1"/>
    <x v="34"/>
    <x v="2"/>
    <x v="1"/>
    <s v="USPS"/>
    <x v="33"/>
    <d v="2023-12-26T00:00:00"/>
    <m/>
    <x v="1"/>
    <x v="3"/>
    <n v="4"/>
    <s v="Luke Gray"/>
    <x v="2"/>
    <x v="18"/>
  </r>
  <r>
    <s v="ORD0036"/>
    <s v="CUST014"/>
    <s v="PROD016"/>
    <x v="0"/>
    <x v="25"/>
    <n v="3"/>
    <x v="35"/>
    <x v="3"/>
    <x v="2"/>
    <s v="UPS"/>
    <x v="34"/>
    <m/>
    <m/>
    <x v="1"/>
    <x v="0"/>
    <s v="NA"/>
    <s v="Harper Young"/>
    <x v="0"/>
    <x v="19"/>
  </r>
  <r>
    <s v="ORD0037"/>
    <s v="CUST044"/>
    <s v="PROD002"/>
    <x v="1"/>
    <x v="26"/>
    <n v="4"/>
    <x v="36"/>
    <x v="1"/>
    <x v="1"/>
    <s v="Amazon Logistics"/>
    <x v="35"/>
    <d v="2023-10-22T00:00:00"/>
    <m/>
    <x v="1"/>
    <x v="1"/>
    <n v="5"/>
    <s v="Grace Ward"/>
    <x v="2"/>
    <x v="15"/>
  </r>
  <r>
    <s v="ORD0038"/>
    <s v="CUST028"/>
    <s v="PROD007"/>
    <x v="0"/>
    <x v="27"/>
    <n v="2"/>
    <x v="37"/>
    <x v="4"/>
    <x v="0"/>
    <s v="FedEx"/>
    <x v="36"/>
    <m/>
    <d v="2023-08-24T00:00:00"/>
    <x v="0"/>
    <x v="1"/>
    <s v="NA"/>
    <s v="Lily Bennett"/>
    <x v="0"/>
    <x v="20"/>
  </r>
  <r>
    <s v="ORD0039"/>
    <s v="CUST024"/>
    <s v="PROD022"/>
    <x v="1"/>
    <x v="28"/>
    <n v="2"/>
    <x v="38"/>
    <x v="0"/>
    <x v="2"/>
    <s v="DHL"/>
    <x v="37"/>
    <m/>
    <m/>
    <x v="1"/>
    <x v="2"/>
    <s v="NA"/>
    <s v="Scarlett Murphy"/>
    <x v="0"/>
    <x v="16"/>
  </r>
  <r>
    <s v="ORD0040"/>
    <s v="CUST006"/>
    <s v="PROD004"/>
    <x v="1"/>
    <x v="29"/>
    <n v="4"/>
    <x v="39"/>
    <x v="4"/>
    <x v="2"/>
    <s v="UPS"/>
    <x v="38"/>
    <m/>
    <m/>
    <x v="1"/>
    <x v="1"/>
    <s v="NA"/>
    <s v="Ava Robinson"/>
    <x v="0"/>
    <x v="21"/>
  </r>
  <r>
    <s v="ORD0041"/>
    <s v="CUST001"/>
    <s v="PROD011"/>
    <x v="4"/>
    <x v="30"/>
    <n v="4"/>
    <x v="40"/>
    <x v="0"/>
    <x v="1"/>
    <s v="UPS"/>
    <x v="39"/>
    <d v="2023-09-30T00:00:00"/>
    <m/>
    <x v="1"/>
    <x v="3"/>
    <n v="7"/>
    <s v="James Miller"/>
    <x v="2"/>
    <x v="18"/>
  </r>
  <r>
    <s v="ORD0042"/>
    <s v="CUST007"/>
    <s v="PROD004"/>
    <x v="4"/>
    <x v="31"/>
    <n v="3"/>
    <x v="41"/>
    <x v="0"/>
    <x v="1"/>
    <s v="UPS"/>
    <x v="40"/>
    <d v="2023-07-18T00:00:00"/>
    <m/>
    <x v="1"/>
    <x v="1"/>
    <n v="2"/>
    <s v="Liam Walker"/>
    <x v="1"/>
    <x v="21"/>
  </r>
  <r>
    <s v="ORD0043"/>
    <s v="CUST040"/>
    <s v="PROD021"/>
    <x v="4"/>
    <x v="32"/>
    <n v="3"/>
    <x v="42"/>
    <x v="4"/>
    <x v="0"/>
    <s v="USPS"/>
    <x v="41"/>
    <m/>
    <d v="2023-02-11T00:00:00"/>
    <x v="0"/>
    <x v="0"/>
    <s v="NA"/>
    <s v="Benjamin Clark"/>
    <x v="0"/>
    <x v="5"/>
  </r>
  <r>
    <s v="ORD0044"/>
    <s v="CUST006"/>
    <s v="PROD004"/>
    <x v="3"/>
    <x v="29"/>
    <n v="1"/>
    <x v="43"/>
    <x v="0"/>
    <x v="0"/>
    <s v="Amazon Logistics"/>
    <x v="42"/>
    <m/>
    <d v="2023-12-23T00:00:00"/>
    <x v="0"/>
    <x v="1"/>
    <s v="NA"/>
    <s v="Ava Robinson"/>
    <x v="0"/>
    <x v="21"/>
  </r>
  <r>
    <s v="ORD0045"/>
    <s v="CUST042"/>
    <s v="PROD003"/>
    <x v="3"/>
    <x v="33"/>
    <n v="5"/>
    <x v="44"/>
    <x v="3"/>
    <x v="0"/>
    <s v="FedEx"/>
    <x v="43"/>
    <m/>
    <d v="2023-06-14T00:00:00"/>
    <x v="0"/>
    <x v="0"/>
    <s v="NA"/>
    <s v="Noah Wilson"/>
    <x v="0"/>
    <x v="7"/>
  </r>
  <r>
    <s v="ORD0046"/>
    <s v="CUST039"/>
    <s v="PROD017"/>
    <x v="0"/>
    <x v="34"/>
    <n v="4"/>
    <x v="45"/>
    <x v="1"/>
    <x v="1"/>
    <s v="Amazon Logistics"/>
    <x v="44"/>
    <d v="2023-12-08T00:00:00"/>
    <m/>
    <x v="1"/>
    <x v="3"/>
    <n v="4"/>
    <s v="Logan Ramirez"/>
    <x v="2"/>
    <x v="10"/>
  </r>
  <r>
    <s v="ORD0047"/>
    <s v="CUST041"/>
    <s v="PROD020"/>
    <x v="0"/>
    <x v="35"/>
    <n v="1"/>
    <x v="46"/>
    <x v="2"/>
    <x v="1"/>
    <s v="Amazon Logistics"/>
    <x v="45"/>
    <d v="2023-07-19T00:00:00"/>
    <m/>
    <x v="1"/>
    <x v="3"/>
    <n v="2"/>
    <s v="Jacob Price"/>
    <x v="1"/>
    <x v="4"/>
  </r>
  <r>
    <s v="ORD0048"/>
    <s v="CUST044"/>
    <s v="PROD006"/>
    <x v="1"/>
    <x v="20"/>
    <n v="1"/>
    <x v="47"/>
    <x v="3"/>
    <x v="1"/>
    <s v="FedEx"/>
    <x v="46"/>
    <d v="2023-10-24T00:00:00"/>
    <m/>
    <x v="1"/>
    <x v="2"/>
    <n v="5"/>
    <s v="Grace Ward"/>
    <x v="2"/>
    <x v="9"/>
  </r>
  <r>
    <s v="ORD0049"/>
    <s v="CUST026"/>
    <s v="PROD017"/>
    <x v="2"/>
    <x v="34"/>
    <n v="5"/>
    <x v="48"/>
    <x v="0"/>
    <x v="2"/>
    <s v="Amazon Logistics"/>
    <x v="47"/>
    <m/>
    <m/>
    <x v="1"/>
    <x v="3"/>
    <s v="NA"/>
    <s v="Zoe Mitchell"/>
    <x v="0"/>
    <x v="10"/>
  </r>
  <r>
    <s v="ORD0050"/>
    <s v="CUST040"/>
    <s v="PROD005"/>
    <x v="1"/>
    <x v="12"/>
    <n v="3"/>
    <x v="15"/>
    <x v="3"/>
    <x v="1"/>
    <s v="UPS"/>
    <x v="48"/>
    <d v="2023-02-19T00:00:00"/>
    <m/>
    <x v="1"/>
    <x v="2"/>
    <n v="7"/>
    <s v="Benjamin Clark"/>
    <x v="2"/>
    <x v="11"/>
  </r>
  <r>
    <s v="ORD0051"/>
    <s v="CUST041"/>
    <s v="PROD021"/>
    <x v="0"/>
    <x v="7"/>
    <n v="1"/>
    <x v="49"/>
    <x v="0"/>
    <x v="2"/>
    <s v="UPS"/>
    <x v="20"/>
    <m/>
    <m/>
    <x v="1"/>
    <x v="0"/>
    <s v="NA"/>
    <s v="Jacob Price"/>
    <x v="0"/>
    <x v="5"/>
  </r>
  <r>
    <s v="ORD0052"/>
    <s v="CUST008"/>
    <s v="PROD015"/>
    <x v="0"/>
    <x v="36"/>
    <n v="1"/>
    <x v="50"/>
    <x v="4"/>
    <x v="1"/>
    <s v="FedEx"/>
    <x v="49"/>
    <d v="2023-02-01T00:00:00"/>
    <m/>
    <x v="1"/>
    <x v="4"/>
    <n v="2"/>
    <s v="Harper Young"/>
    <x v="1"/>
    <x v="12"/>
  </r>
  <r>
    <s v="ORD0053"/>
    <s v="CUST011"/>
    <s v="PROD016"/>
    <x v="3"/>
    <x v="37"/>
    <n v="5"/>
    <x v="51"/>
    <x v="2"/>
    <x v="1"/>
    <s v="DHL"/>
    <x v="9"/>
    <d v="2024-01-01T00:00:00"/>
    <m/>
    <x v="1"/>
    <x v="0"/>
    <n v="3"/>
    <s v="Mason Hall"/>
    <x v="2"/>
    <x v="19"/>
  </r>
  <r>
    <s v="ORD0054"/>
    <s v="CUST018"/>
    <s v="PROD004"/>
    <x v="0"/>
    <x v="19"/>
    <n v="1"/>
    <x v="37"/>
    <x v="0"/>
    <x v="0"/>
    <s v="USPS"/>
    <x v="50"/>
    <m/>
    <d v="2023-03-13T00:00:00"/>
    <x v="0"/>
    <x v="1"/>
    <s v="NA"/>
    <s v="Grace Scott"/>
    <x v="0"/>
    <x v="21"/>
  </r>
  <r>
    <s v="ORD0055"/>
    <s v="CUST037"/>
    <s v="PROD021"/>
    <x v="3"/>
    <x v="32"/>
    <n v="4"/>
    <x v="52"/>
    <x v="2"/>
    <x v="1"/>
    <s v="Amazon Logistics"/>
    <x v="4"/>
    <d v="2023-02-06T00:00:00"/>
    <m/>
    <x v="1"/>
    <x v="0"/>
    <n v="4"/>
    <s v="Emily Johnson"/>
    <x v="2"/>
    <x v="5"/>
  </r>
  <r>
    <s v="ORD0056"/>
    <s v="CUST017"/>
    <s v="PROD004"/>
    <x v="4"/>
    <x v="38"/>
    <n v="1"/>
    <x v="53"/>
    <x v="3"/>
    <x v="1"/>
    <s v="FedEx"/>
    <x v="51"/>
    <d v="2023-10-21T00:00:00"/>
    <m/>
    <x v="1"/>
    <x v="1"/>
    <n v="3"/>
    <s v="Emma King"/>
    <x v="2"/>
    <x v="21"/>
  </r>
  <r>
    <s v="ORD0057"/>
    <s v="CUST025"/>
    <s v="PROD005"/>
    <x v="3"/>
    <x v="39"/>
    <n v="1"/>
    <x v="54"/>
    <x v="0"/>
    <x v="1"/>
    <s v="DHL"/>
    <x v="52"/>
    <d v="2023-01-09T00:00:00"/>
    <m/>
    <x v="1"/>
    <x v="2"/>
    <n v="2"/>
    <s v="Emma King"/>
    <x v="1"/>
    <x v="11"/>
  </r>
  <r>
    <s v="ORD0058"/>
    <s v="CUST021"/>
    <s v="PROD009"/>
    <x v="0"/>
    <x v="23"/>
    <n v="5"/>
    <x v="31"/>
    <x v="1"/>
    <x v="2"/>
    <s v="FedEx"/>
    <x v="53"/>
    <m/>
    <m/>
    <x v="1"/>
    <x v="4"/>
    <s v="NA"/>
    <s v="Zoe Mitchell"/>
    <x v="0"/>
    <x v="17"/>
  </r>
  <r>
    <s v="ORD0059"/>
    <s v="CUST003"/>
    <s v="PROD013"/>
    <x v="0"/>
    <x v="40"/>
    <n v="4"/>
    <x v="55"/>
    <x v="2"/>
    <x v="0"/>
    <s v="FedEx"/>
    <x v="54"/>
    <m/>
    <d v="2023-04-05T00:00:00"/>
    <x v="0"/>
    <x v="0"/>
    <s v="NA"/>
    <s v="Ethan Davis"/>
    <x v="0"/>
    <x v="2"/>
  </r>
  <r>
    <s v="ORD0060"/>
    <s v="CUST019"/>
    <s v="PROD019"/>
    <x v="4"/>
    <x v="0"/>
    <n v="5"/>
    <x v="56"/>
    <x v="0"/>
    <x v="0"/>
    <s v="USPS"/>
    <x v="2"/>
    <m/>
    <d v="2023-10-12T00:00:00"/>
    <x v="0"/>
    <x v="2"/>
    <s v="NA"/>
    <s v="Ava Robinson"/>
    <x v="0"/>
    <x v="6"/>
  </r>
  <r>
    <s v="ORD0061"/>
    <s v="CUST035"/>
    <s v="PROD008"/>
    <x v="1"/>
    <x v="21"/>
    <n v="4"/>
    <x v="57"/>
    <x v="4"/>
    <x v="2"/>
    <s v="DHL"/>
    <x v="55"/>
    <m/>
    <m/>
    <x v="1"/>
    <x v="4"/>
    <s v="NA"/>
    <s v="Scarlett Adams"/>
    <x v="0"/>
    <x v="13"/>
  </r>
  <r>
    <s v="ORD0062"/>
    <s v="CUST022"/>
    <s v="PROD001"/>
    <x v="0"/>
    <x v="41"/>
    <n v="4"/>
    <x v="58"/>
    <x v="1"/>
    <x v="1"/>
    <s v="USPS"/>
    <x v="56"/>
    <d v="2023-11-29T00:00:00"/>
    <m/>
    <x v="1"/>
    <x v="3"/>
    <n v="7"/>
    <s v="Elijah Lewis"/>
    <x v="2"/>
    <x v="14"/>
  </r>
  <r>
    <s v="ORD0063"/>
    <s v="CUST004"/>
    <s v="PROD005"/>
    <x v="1"/>
    <x v="12"/>
    <n v="1"/>
    <x v="14"/>
    <x v="4"/>
    <x v="2"/>
    <s v="Amazon Logistics"/>
    <x v="57"/>
    <m/>
    <m/>
    <x v="1"/>
    <x v="2"/>
    <s v="NA"/>
    <s v="Noah Wilson"/>
    <x v="0"/>
    <x v="11"/>
  </r>
  <r>
    <s v="ORD0064"/>
    <s v="CUST048"/>
    <s v="PROD003"/>
    <x v="4"/>
    <x v="42"/>
    <n v="5"/>
    <x v="59"/>
    <x v="0"/>
    <x v="1"/>
    <s v="USPS"/>
    <x v="38"/>
    <d v="2023-12-29T00:00:00"/>
    <m/>
    <x v="1"/>
    <x v="0"/>
    <n v="4"/>
    <s v="Noah Wilson"/>
    <x v="2"/>
    <x v="7"/>
  </r>
  <r>
    <s v="ORD0065"/>
    <s v="CUST009"/>
    <s v="PROD008"/>
    <x v="2"/>
    <x v="21"/>
    <n v="3"/>
    <x v="60"/>
    <x v="2"/>
    <x v="0"/>
    <s v="Amazon Logistics"/>
    <x v="51"/>
    <m/>
    <d v="2023-10-20T00:00:00"/>
    <x v="0"/>
    <x v="4"/>
    <s v="NA"/>
    <s v="Jackson Allen"/>
    <x v="0"/>
    <x v="13"/>
  </r>
  <r>
    <s v="ORD0066"/>
    <s v="CUST009"/>
    <s v="PROD019"/>
    <x v="4"/>
    <x v="22"/>
    <n v="1"/>
    <x v="61"/>
    <x v="0"/>
    <x v="0"/>
    <s v="DHL"/>
    <x v="58"/>
    <m/>
    <d v="2023-05-21T00:00:00"/>
    <x v="0"/>
    <x v="2"/>
    <s v="NA"/>
    <s v="Jackson Allen"/>
    <x v="0"/>
    <x v="6"/>
  </r>
  <r>
    <s v="ORD0067"/>
    <s v="CUST050"/>
    <s v="PROD007"/>
    <x v="0"/>
    <x v="43"/>
    <n v="4"/>
    <x v="62"/>
    <x v="1"/>
    <x v="1"/>
    <s v="UPS"/>
    <x v="59"/>
    <d v="2023-07-30T00:00:00"/>
    <m/>
    <x v="1"/>
    <x v="1"/>
    <n v="2"/>
    <e v="#N/A"/>
    <x v="1"/>
    <x v="20"/>
  </r>
  <r>
    <s v="ORD0068"/>
    <s v="CUST045"/>
    <s v="PROD020"/>
    <x v="4"/>
    <x v="35"/>
    <n v="3"/>
    <x v="63"/>
    <x v="1"/>
    <x v="2"/>
    <s v="UPS"/>
    <x v="42"/>
    <m/>
    <m/>
    <x v="1"/>
    <x v="3"/>
    <s v="NA"/>
    <s v="Emily Johnson"/>
    <x v="0"/>
    <x v="4"/>
  </r>
  <r>
    <s v="ORD0069"/>
    <s v="CUST044"/>
    <s v="PROD010"/>
    <x v="1"/>
    <x v="5"/>
    <n v="2"/>
    <x v="64"/>
    <x v="0"/>
    <x v="0"/>
    <s v="USPS"/>
    <x v="60"/>
    <m/>
    <d v="2023-07-07T00:00:00"/>
    <x v="0"/>
    <x v="2"/>
    <s v="NA"/>
    <s v="Grace Ward"/>
    <x v="0"/>
    <x v="3"/>
  </r>
  <r>
    <s v="ORD0070"/>
    <s v="CUST009"/>
    <s v="PROD004"/>
    <x v="4"/>
    <x v="29"/>
    <n v="2"/>
    <x v="62"/>
    <x v="4"/>
    <x v="0"/>
    <s v="DHL"/>
    <x v="26"/>
    <m/>
    <d v="2023-10-10T00:00:00"/>
    <x v="0"/>
    <x v="1"/>
    <s v="NA"/>
    <s v="Jackson Allen"/>
    <x v="0"/>
    <x v="21"/>
  </r>
  <r>
    <s v="ORD0071"/>
    <s v="CUST006"/>
    <s v="PROD019"/>
    <x v="1"/>
    <x v="18"/>
    <n v="1"/>
    <x v="24"/>
    <x v="1"/>
    <x v="1"/>
    <s v="Amazon Logistics"/>
    <x v="42"/>
    <d v="2023-12-25T00:00:00"/>
    <m/>
    <x v="1"/>
    <x v="2"/>
    <n v="7"/>
    <s v="Ava Robinson"/>
    <x v="2"/>
    <x v="6"/>
  </r>
  <r>
    <s v="ORD0072"/>
    <s v="CUST022"/>
    <s v="PROD004"/>
    <x v="1"/>
    <x v="29"/>
    <n v="4"/>
    <x v="39"/>
    <x v="4"/>
    <x v="2"/>
    <s v="Amazon Logistics"/>
    <x v="61"/>
    <m/>
    <m/>
    <x v="1"/>
    <x v="1"/>
    <s v="NA"/>
    <s v="Elijah Lewis"/>
    <x v="0"/>
    <x v="21"/>
  </r>
  <r>
    <s v="ORD0073"/>
    <s v="CUST028"/>
    <s v="PROD006"/>
    <x v="0"/>
    <x v="44"/>
    <n v="2"/>
    <x v="65"/>
    <x v="2"/>
    <x v="0"/>
    <s v="UPS"/>
    <x v="62"/>
    <m/>
    <d v="2023-07-25T00:00:00"/>
    <x v="0"/>
    <x v="2"/>
    <s v="NA"/>
    <s v="Lily Bennett"/>
    <x v="0"/>
    <x v="9"/>
  </r>
  <r>
    <s v="ORD0074"/>
    <s v="CUST016"/>
    <s v="PROD021"/>
    <x v="3"/>
    <x v="32"/>
    <n v="4"/>
    <x v="52"/>
    <x v="0"/>
    <x v="1"/>
    <s v="FedEx"/>
    <x v="63"/>
    <d v="2023-01-24T00:00:00"/>
    <m/>
    <x v="1"/>
    <x v="0"/>
    <n v="6"/>
    <s v="Elijah Lewis"/>
    <x v="2"/>
    <x v="5"/>
  </r>
  <r>
    <s v="ORD0075"/>
    <s v="CUST042"/>
    <s v="PROD017"/>
    <x v="1"/>
    <x v="34"/>
    <n v="5"/>
    <x v="48"/>
    <x v="0"/>
    <x v="2"/>
    <s v="DHL"/>
    <x v="64"/>
    <m/>
    <m/>
    <x v="1"/>
    <x v="3"/>
    <s v="NA"/>
    <s v="Noah Wilson"/>
    <x v="0"/>
    <x v="10"/>
  </r>
  <r>
    <s v="ORD0076"/>
    <s v="CUST023"/>
    <s v="PROD019"/>
    <x v="0"/>
    <x v="18"/>
    <n v="4"/>
    <x v="34"/>
    <x v="4"/>
    <x v="1"/>
    <s v="DHL"/>
    <x v="65"/>
    <d v="2023-09-09T00:00:00"/>
    <m/>
    <x v="1"/>
    <x v="2"/>
    <n v="6"/>
    <s v="Charlotte Reed"/>
    <x v="2"/>
    <x v="6"/>
  </r>
  <r>
    <s v="ORD0077"/>
    <s v="CUST004"/>
    <s v="PROD016"/>
    <x v="4"/>
    <x v="45"/>
    <n v="5"/>
    <x v="66"/>
    <x v="4"/>
    <x v="1"/>
    <s v="UPS"/>
    <x v="22"/>
    <d v="2023-11-04T00:00:00"/>
    <m/>
    <x v="1"/>
    <x v="0"/>
    <n v="2"/>
    <s v="Noah Wilson"/>
    <x v="1"/>
    <x v="19"/>
  </r>
  <r>
    <s v="ORD0078"/>
    <s v="CUST048"/>
    <s v="PROD002"/>
    <x v="3"/>
    <x v="22"/>
    <n v="2"/>
    <x v="20"/>
    <x v="0"/>
    <x v="0"/>
    <s v="UPS"/>
    <x v="66"/>
    <m/>
    <d v="2023-12-06T00:00:00"/>
    <x v="0"/>
    <x v="1"/>
    <s v="NA"/>
    <s v="Noah Wilson"/>
    <x v="0"/>
    <x v="15"/>
  </r>
  <r>
    <s v="ORD0079"/>
    <s v="CUST048"/>
    <s v="PROD012"/>
    <x v="0"/>
    <x v="17"/>
    <n v="1"/>
    <x v="67"/>
    <x v="3"/>
    <x v="2"/>
    <s v="UPS"/>
    <x v="7"/>
    <m/>
    <m/>
    <x v="1"/>
    <x v="0"/>
    <s v="NA"/>
    <s v="Noah Wilson"/>
    <x v="0"/>
    <x v="0"/>
  </r>
  <r>
    <s v="ORD0080"/>
    <s v="CUST032"/>
    <s v="PROD018"/>
    <x v="1"/>
    <x v="44"/>
    <n v="4"/>
    <x v="68"/>
    <x v="1"/>
    <x v="1"/>
    <s v="UPS"/>
    <x v="67"/>
    <d v="2023-10-19T00:00:00"/>
    <m/>
    <x v="1"/>
    <x v="1"/>
    <n v="3"/>
    <s v="Luke Gray"/>
    <x v="2"/>
    <x v="1"/>
  </r>
  <r>
    <s v="ORD0081"/>
    <s v="CUST001"/>
    <s v="PROD011"/>
    <x v="4"/>
    <x v="46"/>
    <n v="2"/>
    <x v="69"/>
    <x v="2"/>
    <x v="2"/>
    <s v="UPS"/>
    <x v="68"/>
    <m/>
    <m/>
    <x v="1"/>
    <x v="3"/>
    <s v="NA"/>
    <s v="James Miller"/>
    <x v="0"/>
    <x v="18"/>
  </r>
  <r>
    <s v="ORD0082"/>
    <s v="CUST046"/>
    <s v="PROD005"/>
    <x v="0"/>
    <x v="12"/>
    <n v="5"/>
    <x v="70"/>
    <x v="1"/>
    <x v="0"/>
    <s v="Amazon Logistics"/>
    <x v="30"/>
    <m/>
    <d v="2023-06-18T00:00:00"/>
    <x v="0"/>
    <x v="2"/>
    <s v="NA"/>
    <s v="Emily Johnson"/>
    <x v="0"/>
    <x v="11"/>
  </r>
  <r>
    <s v="ORD0083"/>
    <s v="CUST021"/>
    <s v="PROD005"/>
    <x v="2"/>
    <x v="12"/>
    <n v="4"/>
    <x v="42"/>
    <x v="2"/>
    <x v="1"/>
    <s v="USPS"/>
    <x v="69"/>
    <d v="2023-10-30T00:00:00"/>
    <m/>
    <x v="1"/>
    <x v="2"/>
    <n v="2"/>
    <s v="Zoe Mitchell"/>
    <x v="1"/>
    <x v="11"/>
  </r>
  <r>
    <s v="ORD0084"/>
    <s v="CUST015"/>
    <s v="PROD022"/>
    <x v="2"/>
    <x v="38"/>
    <n v="2"/>
    <x v="71"/>
    <x v="2"/>
    <x v="2"/>
    <s v="DHL"/>
    <x v="33"/>
    <m/>
    <m/>
    <x v="1"/>
    <x v="2"/>
    <s v="NA"/>
    <s v="Ava White"/>
    <x v="0"/>
    <x v="16"/>
  </r>
  <r>
    <s v="ORD0085"/>
    <s v="CUST045"/>
    <s v="PROD019"/>
    <x v="1"/>
    <x v="18"/>
    <n v="5"/>
    <x v="72"/>
    <x v="4"/>
    <x v="2"/>
    <s v="DHL"/>
    <x v="61"/>
    <m/>
    <m/>
    <x v="1"/>
    <x v="2"/>
    <s v="NA"/>
    <s v="Emily Johnson"/>
    <x v="0"/>
    <x v="6"/>
  </r>
  <r>
    <s v="ORD0086"/>
    <s v="CUST007"/>
    <s v="PROD016"/>
    <x v="4"/>
    <x v="47"/>
    <n v="1"/>
    <x v="30"/>
    <x v="2"/>
    <x v="2"/>
    <s v="UPS"/>
    <x v="70"/>
    <m/>
    <m/>
    <x v="1"/>
    <x v="0"/>
    <s v="NA"/>
    <s v="Liam Walker"/>
    <x v="0"/>
    <x v="19"/>
  </r>
  <r>
    <s v="ORD0087"/>
    <s v="CUST043"/>
    <s v="PROD021"/>
    <x v="2"/>
    <x v="7"/>
    <n v="3"/>
    <x v="28"/>
    <x v="1"/>
    <x v="2"/>
    <s v="UPS"/>
    <x v="56"/>
    <m/>
    <m/>
    <x v="1"/>
    <x v="0"/>
    <s v="NA"/>
    <s v="Lily Reed"/>
    <x v="0"/>
    <x v="5"/>
  </r>
  <r>
    <s v="ORD0088"/>
    <s v="CUST007"/>
    <s v="PROD001"/>
    <x v="2"/>
    <x v="48"/>
    <n v="4"/>
    <x v="73"/>
    <x v="4"/>
    <x v="2"/>
    <s v="Amazon Logistics"/>
    <x v="53"/>
    <m/>
    <m/>
    <x v="1"/>
    <x v="3"/>
    <s v="NA"/>
    <s v="Liam Walker"/>
    <x v="0"/>
    <x v="14"/>
  </r>
  <r>
    <s v="ORD0089"/>
    <s v="CUST007"/>
    <s v="PROD016"/>
    <x v="4"/>
    <x v="49"/>
    <n v="5"/>
    <x v="74"/>
    <x v="4"/>
    <x v="2"/>
    <s v="FedEx"/>
    <x v="71"/>
    <m/>
    <m/>
    <x v="1"/>
    <x v="0"/>
    <s v="NA"/>
    <s v="Liam Walker"/>
    <x v="0"/>
    <x v="19"/>
  </r>
  <r>
    <s v="ORD0090"/>
    <s v="CUST007"/>
    <s v="PROD003"/>
    <x v="4"/>
    <x v="50"/>
    <n v="4"/>
    <x v="75"/>
    <x v="1"/>
    <x v="2"/>
    <s v="FedEx"/>
    <x v="63"/>
    <m/>
    <m/>
    <x v="1"/>
    <x v="0"/>
    <s v="NA"/>
    <s v="Liam Walker"/>
    <x v="0"/>
    <x v="7"/>
  </r>
  <r>
    <s v="ORD0091"/>
    <s v="CUST031"/>
    <s v="PROD001"/>
    <x v="3"/>
    <x v="51"/>
    <n v="2"/>
    <x v="76"/>
    <x v="0"/>
    <x v="1"/>
    <s v="FedEx"/>
    <x v="72"/>
    <d v="2023-06-29T00:00:00"/>
    <m/>
    <x v="1"/>
    <x v="3"/>
    <n v="6"/>
    <s v="Mason Collins"/>
    <x v="2"/>
    <x v="14"/>
  </r>
  <r>
    <s v="ORD0092"/>
    <s v="CUST013"/>
    <s v="PROD014"/>
    <x v="0"/>
    <x v="52"/>
    <n v="5"/>
    <x v="77"/>
    <x v="2"/>
    <x v="0"/>
    <s v="UPS"/>
    <x v="73"/>
    <m/>
    <d v="2023-02-25T00:00:00"/>
    <x v="0"/>
    <x v="3"/>
    <s v="NA"/>
    <s v="Olivia Martinez"/>
    <x v="0"/>
    <x v="8"/>
  </r>
  <r>
    <s v="ORD0093"/>
    <s v="CUST036"/>
    <s v="PROD016"/>
    <x v="1"/>
    <x v="47"/>
    <n v="3"/>
    <x v="78"/>
    <x v="0"/>
    <x v="1"/>
    <s v="DHL"/>
    <x v="74"/>
    <d v="2023-02-21T00:00:00"/>
    <m/>
    <x v="1"/>
    <x v="0"/>
    <n v="2"/>
    <s v="Ethan Davis"/>
    <x v="1"/>
    <x v="19"/>
  </r>
  <r>
    <s v="ORD0094"/>
    <s v="CUST013"/>
    <s v="PROD004"/>
    <x v="0"/>
    <x v="29"/>
    <n v="2"/>
    <x v="62"/>
    <x v="1"/>
    <x v="0"/>
    <s v="FedEx"/>
    <x v="75"/>
    <m/>
    <d v="2023-12-12T00:00:00"/>
    <x v="0"/>
    <x v="1"/>
    <s v="NA"/>
    <s v="Olivia Martinez"/>
    <x v="0"/>
    <x v="21"/>
  </r>
  <r>
    <s v="ORD0095"/>
    <s v="CUST043"/>
    <s v="PROD009"/>
    <x v="2"/>
    <x v="23"/>
    <n v="5"/>
    <x v="31"/>
    <x v="4"/>
    <x v="0"/>
    <s v="Amazon Logistics"/>
    <x v="76"/>
    <m/>
    <d v="2023-06-12T00:00:00"/>
    <x v="0"/>
    <x v="4"/>
    <s v="NA"/>
    <s v="Lily Reed"/>
    <x v="0"/>
    <x v="17"/>
  </r>
  <r>
    <s v="ORD0096"/>
    <s v="CUST017"/>
    <s v="PROD015"/>
    <x v="0"/>
    <x v="13"/>
    <n v="2"/>
    <x v="61"/>
    <x v="3"/>
    <x v="1"/>
    <s v="UPS"/>
    <x v="77"/>
    <d v="2023-07-12T00:00:00"/>
    <m/>
    <x v="1"/>
    <x v="4"/>
    <n v="3"/>
    <s v="Emma King"/>
    <x v="2"/>
    <x v="12"/>
  </r>
  <r>
    <s v="ORD0097"/>
    <s v="CUST023"/>
    <s v="PROD018"/>
    <x v="4"/>
    <x v="44"/>
    <n v="5"/>
    <x v="79"/>
    <x v="3"/>
    <x v="1"/>
    <s v="Amazon Logistics"/>
    <x v="78"/>
    <d v="2023-12-26T00:00:00"/>
    <m/>
    <x v="1"/>
    <x v="1"/>
    <n v="3"/>
    <s v="Charlotte Reed"/>
    <x v="2"/>
    <x v="1"/>
  </r>
  <r>
    <s v="ORD0098"/>
    <s v="CUST044"/>
    <s v="PROD016"/>
    <x v="2"/>
    <x v="53"/>
    <n v="2"/>
    <x v="80"/>
    <x v="2"/>
    <x v="1"/>
    <s v="Amazon Logistics"/>
    <x v="79"/>
    <d v="2023-09-30T00:00:00"/>
    <m/>
    <x v="1"/>
    <x v="0"/>
    <n v="5"/>
    <s v="Grace Ward"/>
    <x v="2"/>
    <x v="19"/>
  </r>
  <r>
    <s v="ORD0099"/>
    <s v="CUST034"/>
    <s v="PROD019"/>
    <x v="4"/>
    <x v="18"/>
    <n v="5"/>
    <x v="72"/>
    <x v="1"/>
    <x v="0"/>
    <s v="UPS"/>
    <x v="63"/>
    <m/>
    <d v="2023-01-24T00:00:00"/>
    <x v="0"/>
    <x v="2"/>
    <s v="NA"/>
    <s v="Lily Simmons"/>
    <x v="0"/>
    <x v="6"/>
  </r>
  <r>
    <s v="ORD0100"/>
    <s v="CUST009"/>
    <s v="PROD002"/>
    <x v="4"/>
    <x v="22"/>
    <n v="4"/>
    <x v="81"/>
    <x v="4"/>
    <x v="2"/>
    <s v="DHL"/>
    <x v="80"/>
    <m/>
    <m/>
    <x v="1"/>
    <x v="1"/>
    <s v="NA"/>
    <s v="Jackson Allen"/>
    <x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9625FF-66A8-4B0F-91FC-2F250084A8B1}"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5:B87" firstHeaderRow="1" firstDataRow="1" firstDataCol="1"/>
  <pivotFields count="19">
    <pivotField showAll="0"/>
    <pivotField showAll="0"/>
    <pivotField showAll="0"/>
    <pivotField axis="axisRow" showAll="0">
      <items count="6">
        <item x="3"/>
        <item h="1" x="1"/>
        <item h="1" x="0"/>
        <item h="1" x="2"/>
        <item h="1" x="4"/>
        <item t="default"/>
      </items>
    </pivotField>
    <pivotField showAll="0"/>
    <pivotField showAll="0"/>
    <pivotField dataField="1"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s>
  <rowFields count="1">
    <field x="3"/>
  </rowFields>
  <rowItems count="2">
    <i>
      <x/>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1A8A33-06F0-48BC-8E01-DB490ACA0BFA}"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7:A78" firstHeaderRow="1" firstDataRow="1" firstDataCol="0"/>
  <pivotFields count="19">
    <pivotField showAll="0"/>
    <pivotField showAll="0"/>
    <pivotField showAll="0"/>
    <pivotField showAll="0">
      <items count="6">
        <item x="3"/>
        <item h="1" x="1"/>
        <item h="1" x="0"/>
        <item h="1" x="2"/>
        <item h="1" x="4"/>
        <item t="default"/>
      </items>
    </pivotField>
    <pivotField showAll="0"/>
    <pivotField showAll="0"/>
    <pivotField dataField="1"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4895FD-898D-4007-9423-4FDF07F61156}"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A119:B124" firstHeaderRow="1" firstDataRow="1" firstDataCol="1"/>
  <pivotFields count="19">
    <pivotField showAll="0"/>
    <pivotField showAll="0"/>
    <pivotField showAll="0"/>
    <pivotField showAll="0">
      <items count="6">
        <item x="3"/>
        <item h="1" x="1"/>
        <item h="1" x="0"/>
        <item h="1" x="2"/>
        <item h="1" x="4"/>
        <item t="default"/>
      </items>
    </pivotField>
    <pivotField showAll="0"/>
    <pivotField showAll="0"/>
    <pivotField dataField="1"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showAll="0">
      <items count="4">
        <item x="0"/>
        <item h="1" x="1"/>
        <item x="2"/>
        <item t="default"/>
      </items>
    </pivotField>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10"/>
  </rowFields>
  <rowItems count="5">
    <i>
      <x v="6"/>
    </i>
    <i>
      <x v="7"/>
    </i>
    <i>
      <x v="8"/>
    </i>
    <i>
      <x v="10"/>
    </i>
    <i t="grand">
      <x/>
    </i>
  </rowItems>
  <colItems count="1">
    <i/>
  </colItems>
  <dataFields count="1">
    <dataField name="Sum of Total Amount" fld="6"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DA052E-EDD1-4A00-AFA7-F8DD32329725}"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20:B23" firstHeaderRow="1" firstDataRow="1" firstDataCol="1"/>
  <pivotFields count="19">
    <pivotField showAll="0"/>
    <pivotField showAll="0"/>
    <pivotField showAll="0"/>
    <pivotField showAll="0">
      <items count="6">
        <item x="3"/>
        <item h="1" x="1"/>
        <item h="1" x="0"/>
        <item h="1" x="2"/>
        <item h="1" x="4"/>
        <item t="default"/>
      </items>
    </pivotField>
    <pivotField showAll="0"/>
    <pivotField dataField="1" showAll="0"/>
    <pivotField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axis="axisRow"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3">
        <item x="1"/>
        <item x="0"/>
        <item t="default"/>
      </items>
    </pivotField>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8"/>
  </rowFields>
  <rowItems count="3">
    <i>
      <x/>
    </i>
    <i>
      <x v="2"/>
    </i>
    <i t="grand">
      <x/>
    </i>
  </rowItems>
  <colItems count="1">
    <i/>
  </colItems>
  <dataFields count="1">
    <dataField name="Count of Quantity" fld="5" subtotal="count" baseField="0" baseItem="0"/>
  </dataFields>
  <chartFormats count="5">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8" count="1" selected="0">
            <x v="0"/>
          </reference>
        </references>
      </pivotArea>
    </chartFormat>
    <chartFormat chart="14" format="7">
      <pivotArea type="data" outline="0" fieldPosition="0">
        <references count="2">
          <reference field="4294967294" count="1" selected="0">
            <x v="0"/>
          </reference>
          <reference field="8" count="1" selected="0">
            <x v="1"/>
          </reference>
        </references>
      </pivotArea>
    </chartFormat>
    <chartFormat chart="14"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F0F522-3C24-46A9-A6EA-A9F72B59C5F9}"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53:D56" firstHeaderRow="1" firstDataRow="2" firstDataCol="1"/>
  <pivotFields count="19">
    <pivotField dataField="1" showAll="0"/>
    <pivotField showAll="0"/>
    <pivotField showAll="0"/>
    <pivotField axis="axisRow" showAll="0">
      <items count="6">
        <item x="3"/>
        <item h="1" x="1"/>
        <item h="1" x="0"/>
        <item h="1" x="2"/>
        <item h="1" x="4"/>
        <item t="default"/>
      </items>
    </pivotField>
    <pivotField showAll="0"/>
    <pivotField showAll="0"/>
    <pivotField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axis="axisCol" showAll="0">
      <items count="3">
        <item x="1"/>
        <item x="0"/>
        <item t="default"/>
      </items>
    </pivotField>
    <pivotField showAll="0"/>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3"/>
  </rowFields>
  <rowItems count="2">
    <i>
      <x/>
    </i>
    <i t="grand">
      <x/>
    </i>
  </rowItems>
  <colFields count="1">
    <field x="13"/>
  </colFields>
  <colItems count="3">
    <i>
      <x/>
    </i>
    <i>
      <x v="1"/>
    </i>
    <i t="grand">
      <x/>
    </i>
  </colItems>
  <dataFields count="1">
    <dataField name="Count of Order ID" fld="0" subtotal="count" baseField="0" baseItem="0"/>
  </dataFields>
  <chartFormats count="5">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04B0A9-5BD8-4D9C-8AE2-A099459E2ED1}"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B35:C37" firstHeaderRow="1" firstDataRow="1" firstDataCol="1" rowPageCount="2" colPageCount="1"/>
  <pivotFields count="19">
    <pivotField showAll="0"/>
    <pivotField showAll="0"/>
    <pivotField showAll="0"/>
    <pivotField axis="axisRow" showAll="0">
      <items count="6">
        <item x="3"/>
        <item h="1" x="1"/>
        <item h="1" x="0"/>
        <item h="1" x="2"/>
        <item h="1" x="4"/>
        <item t="default"/>
      </items>
    </pivotField>
    <pivotField showAll="0"/>
    <pivotField showAll="0"/>
    <pivotField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axis="axisPage" multipleItemSelectionAllowed="1" showAll="0">
      <items count="6">
        <item x="3"/>
        <item h="1" x="0"/>
        <item x="1"/>
        <item x="4"/>
        <item h="1" x="2"/>
        <item t="default"/>
      </items>
    </pivotField>
    <pivotField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3">
        <item x="1"/>
        <item x="0"/>
        <item t="default"/>
      </items>
    </pivotField>
    <pivotField axis="axisPage" showAll="0">
      <items count="6">
        <item x="4"/>
        <item x="3"/>
        <item x="2"/>
        <item x="0"/>
        <item x="1"/>
        <item t="default"/>
      </items>
    </pivotField>
    <pivotField dataField="1"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3"/>
  </rowFields>
  <rowItems count="2">
    <i>
      <x/>
    </i>
    <i t="grand">
      <x/>
    </i>
  </rowItems>
  <colItems count="1">
    <i/>
  </colItems>
  <pageFields count="2">
    <pageField fld="14" hier="-1"/>
    <pageField fld="7" hier="-1"/>
  </pageFields>
  <dataFields count="1">
    <dataField name="Count of Average Time" fld="15" subtotal="count" baseField="0" baseItem="0"/>
  </dataFields>
  <chartFormats count="4">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F779D1-3C0B-43D9-8E7B-5AC7A632D257}"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7:F10" firstHeaderRow="1" firstDataRow="2" firstDataCol="1"/>
  <pivotFields count="19">
    <pivotField showAll="0"/>
    <pivotField showAll="0"/>
    <pivotField showAll="0"/>
    <pivotField axis="axisRow" showAll="0">
      <items count="6">
        <item x="3"/>
        <item h="1" x="1"/>
        <item h="1" x="0"/>
        <item h="1" x="2"/>
        <item h="1" x="4"/>
        <item t="default"/>
      </items>
    </pivotField>
    <pivotField showAll="0"/>
    <pivotField showAll="0"/>
    <pivotField dataField="1"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Col" showAll="0">
      <items count="6">
        <item x="4"/>
        <item x="3"/>
        <item x="2"/>
        <item x="0"/>
        <item x="1"/>
        <item t="default"/>
      </items>
    </pivotField>
    <pivotField showAll="0"/>
    <pivotField showAll="0"/>
    <pivotField showAll="0"/>
    <pivotField showAll="0">
      <items count="23">
        <item x="15"/>
        <item x="16"/>
        <item x="4"/>
        <item x="7"/>
        <item x="19"/>
        <item x="1"/>
        <item x="6"/>
        <item x="10"/>
        <item x="18"/>
        <item x="3"/>
        <item x="0"/>
        <item x="21"/>
        <item x="17"/>
        <item x="12"/>
        <item x="20"/>
        <item x="9"/>
        <item x="14"/>
        <item x="8"/>
        <item x="13"/>
        <item x="11"/>
        <item x="2"/>
        <item x="5"/>
        <item t="default"/>
      </items>
    </pivotField>
  </pivotFields>
  <rowFields count="1">
    <field x="3"/>
  </rowFields>
  <rowItems count="2">
    <i>
      <x/>
    </i>
    <i t="grand">
      <x/>
    </i>
  </rowItems>
  <colFields count="1">
    <field x="14"/>
  </colFields>
  <colItems count="5">
    <i>
      <x v="1"/>
    </i>
    <i>
      <x v="2"/>
    </i>
    <i>
      <x v="3"/>
    </i>
    <i>
      <x v="4"/>
    </i>
    <i t="grand">
      <x/>
    </i>
  </colItems>
  <dataFields count="1">
    <dataField name="Sum of Total Amount" fld="6" baseField="0" baseItem="0"/>
  </dataFields>
  <chartFormats count="11">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5" format="4" series="1">
      <pivotArea type="data" outline="0" fieldPosition="0">
        <references count="2">
          <reference field="4294967294" count="1" selected="0">
            <x v="0"/>
          </reference>
          <reference field="14" count="1" selected="0">
            <x v="4"/>
          </reference>
        </references>
      </pivotArea>
    </chartFormat>
    <chartFormat chart="8" format="10" series="1">
      <pivotArea type="data" outline="0" fieldPosition="0">
        <references count="2">
          <reference field="4294967294" count="1" selected="0">
            <x v="0"/>
          </reference>
          <reference field="14" count="1" selected="0">
            <x v="0"/>
          </reference>
        </references>
      </pivotArea>
    </chartFormat>
    <chartFormat chart="8" format="11" series="1">
      <pivotArea type="data" outline="0" fieldPosition="0">
        <references count="2">
          <reference field="4294967294" count="1" selected="0">
            <x v="0"/>
          </reference>
          <reference field="14" count="1" selected="0">
            <x v="1"/>
          </reference>
        </references>
      </pivotArea>
    </chartFormat>
    <chartFormat chart="8" format="12" series="1">
      <pivotArea type="data" outline="0" fieldPosition="0">
        <references count="2">
          <reference field="4294967294" count="1" selected="0">
            <x v="0"/>
          </reference>
          <reference field="14" count="1" selected="0">
            <x v="2"/>
          </reference>
        </references>
      </pivotArea>
    </chartFormat>
    <chartFormat chart="8" format="13" series="1">
      <pivotArea type="data" outline="0" fieldPosition="0">
        <references count="2">
          <reference field="4294967294" count="1" selected="0">
            <x v="0"/>
          </reference>
          <reference field="14" count="1" selected="0">
            <x v="3"/>
          </reference>
        </references>
      </pivotArea>
    </chartFormat>
    <chartFormat chart="8" format="14" series="1">
      <pivotArea type="data" outline="0" fieldPosition="0">
        <references count="2">
          <reference field="4294967294" count="1" selected="0">
            <x v="0"/>
          </reference>
          <reference field="14" count="1" selected="0">
            <x v="4"/>
          </reference>
        </references>
      </pivotArea>
    </chartFormat>
    <chartFormat chart="8"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9789AC-343E-4047-9031-A3D1EC5942E3}"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6:B112" firstHeaderRow="1" firstDataRow="1" firstDataCol="1"/>
  <pivotFields count="19">
    <pivotField showAll="0"/>
    <pivotField showAll="0"/>
    <pivotField showAll="0"/>
    <pivotField showAll="0">
      <items count="6">
        <item x="3"/>
        <item h="1" x="1"/>
        <item h="1" x="0"/>
        <item h="1" x="2"/>
        <item h="1" x="4"/>
        <item t="default"/>
      </items>
    </pivotField>
    <pivotField showAll="0"/>
    <pivotField dataField="1" showAll="0"/>
    <pivotField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s>
  <rowFields count="1">
    <field x="18"/>
  </rowFields>
  <rowItems count="6">
    <i>
      <x v="2"/>
    </i>
    <i>
      <x v="3"/>
    </i>
    <i>
      <x v="5"/>
    </i>
    <i>
      <x v="6"/>
    </i>
    <i>
      <x v="17"/>
    </i>
    <i t="grand">
      <x/>
    </i>
  </rowItems>
  <colItems count="1">
    <i/>
  </colItems>
  <dataFields count="1">
    <dataField name="Count of Quantity" fld="5" subtotal="count"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7D379E-527A-4030-ADBC-E3B088C5A9B4}"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69:A70" firstHeaderRow="1" firstDataRow="1" firstDataCol="0" rowPageCount="1" colPageCount="1"/>
  <pivotFields count="19">
    <pivotField showAll="0"/>
    <pivotField showAll="0"/>
    <pivotField showAll="0"/>
    <pivotField showAll="0">
      <items count="6">
        <item x="3"/>
        <item h="1" x="1"/>
        <item h="1" x="0"/>
        <item h="1" x="2"/>
        <item h="1" x="4"/>
        <item t="default"/>
      </items>
    </pivotField>
    <pivotField showAll="0"/>
    <pivotField showAll="0"/>
    <pivotField dataField="1"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axis="axisPage" multipleItemSelectionAllowed="1"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s>
  <rowItems count="1">
    <i/>
  </rowItems>
  <colItems count="1">
    <i/>
  </colItems>
  <pageFields count="1">
    <pageField fld="8"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682CE4-5DA1-4DFF-A9E9-693EDC56DE39}"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7:C99" firstHeaderRow="1" firstDataRow="2" firstDataCol="1"/>
  <pivotFields count="19">
    <pivotField dataField="1" showAll="0"/>
    <pivotField showAll="0"/>
    <pivotField showAll="0"/>
    <pivotField showAll="0">
      <items count="6">
        <item x="3"/>
        <item h="1" x="1"/>
        <item h="1" x="0"/>
        <item h="1" x="2"/>
        <item h="1" x="4"/>
        <item t="default"/>
      </items>
    </pivotField>
    <pivotField showAll="0"/>
    <pivotField showAll="0"/>
    <pivotField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showAll="0">
      <items count="6">
        <item x="3"/>
        <item h="1" x="0"/>
        <item x="1"/>
        <item x="4"/>
        <item h="1" x="2"/>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s>
  <rowItems count="1">
    <i/>
  </rowItems>
  <colFields count="1">
    <field x="17"/>
  </colFields>
  <colItems count="2">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F58821-18E6-4D05-AACE-82DAD925E85D}" name="PivotTable2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9">
  <location ref="A3:B9" firstHeaderRow="1" firstDataRow="1" firstDataCol="1"/>
  <pivotFields count="22">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3A2214-8ABF-47D4-8577-C6D4206D3044}" name="PivotTable2" cacheId="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9" firstHeaderRow="1" firstDataRow="1" firstDataCol="1"/>
  <pivotFields count="19">
    <pivotField showAll="0"/>
    <pivotField dataField="1" showAll="0"/>
    <pivotField showAll="0"/>
    <pivotField showAll="0">
      <items count="6">
        <item x="3"/>
        <item h="1" x="1"/>
        <item h="1" x="0"/>
        <item h="1" x="2"/>
        <item h="1" x="4"/>
        <item t="default"/>
      </items>
    </pivotField>
    <pivotField axis="axisRow" showAll="0" measureFilter="1">
      <items count="55">
        <item x="23"/>
        <item x="13"/>
        <item x="36"/>
        <item x="39"/>
        <item x="12"/>
        <item x="43"/>
        <item x="27"/>
        <item x="32"/>
        <item x="7"/>
        <item x="26"/>
        <item x="22"/>
        <item x="18"/>
        <item x="0"/>
        <item x="17"/>
        <item x="5"/>
        <item x="4"/>
        <item x="29"/>
        <item x="31"/>
        <item x="19"/>
        <item x="38"/>
        <item x="28"/>
        <item x="21"/>
        <item x="14"/>
        <item x="34"/>
        <item x="11"/>
        <item x="15"/>
        <item x="44"/>
        <item x="1"/>
        <item x="20"/>
        <item x="35"/>
        <item x="6"/>
        <item x="33"/>
        <item x="50"/>
        <item x="42"/>
        <item x="8"/>
        <item x="24"/>
        <item x="30"/>
        <item x="46"/>
        <item x="2"/>
        <item x="40"/>
        <item x="3"/>
        <item x="47"/>
        <item x="25"/>
        <item x="45"/>
        <item x="53"/>
        <item x="49"/>
        <item x="37"/>
        <item x="10"/>
        <item x="52"/>
        <item x="9"/>
        <item x="48"/>
        <item x="51"/>
        <item x="16"/>
        <item x="41"/>
        <item t="default"/>
      </items>
    </pivotField>
    <pivotField showAll="0"/>
    <pivotField showAll="0"/>
    <pivotField showAll="0">
      <items count="6">
        <item x="3"/>
        <item h="1" x="0"/>
        <item x="1"/>
        <item x="4"/>
        <item h="1" x="2"/>
        <item t="default"/>
      </items>
    </pivotField>
    <pivotField showAll="0">
      <items count="4">
        <item x="0"/>
        <item h="1" x="1"/>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s>
  <rowFields count="1">
    <field x="4"/>
  </rowFields>
  <rowItems count="6">
    <i>
      <x v="12"/>
    </i>
    <i>
      <x v="28"/>
    </i>
    <i>
      <x v="30"/>
    </i>
    <i>
      <x v="31"/>
    </i>
    <i>
      <x v="47"/>
    </i>
    <i t="grand">
      <x/>
    </i>
  </rowItems>
  <colItems count="1">
    <i/>
  </colItems>
  <dataFields count="1">
    <dataField name="Count of Customer ID" fld="1" subtotal="count" baseField="0" baseItem="0"/>
  </dataFields>
  <pivotTableStyleInfo name="PivotStyleLight16" showRowHeaders="1" showColHeaders="1" showRowStripes="0" showColStripes="0" showLastColumn="1"/>
  <filters count="1">
    <filter fld="4" type="count" evalOrder="-1" id="2"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60054238-EE22-4B95-9EE3-BE7059BE7431}" sourceName="Delivery Status">
  <pivotTables>
    <pivotTable tabId="51" name="PivotTable11"/>
    <pivotTable tabId="47" name="PivotTable2"/>
    <pivotTable tabId="51" name="PivotTable1"/>
    <pivotTable tabId="51" name="PivotTable2"/>
    <pivotTable tabId="51" name="PivotTable4"/>
    <pivotTable tabId="51" name="PivotTable6"/>
    <pivotTable tabId="51" name="PivotTable7"/>
    <pivotTable tabId="51" name="PivotTable8"/>
    <pivotTable tabId="51" name="PivotTable5"/>
    <pivotTable tabId="51" name="PivotTable10"/>
  </pivotTables>
  <data>
    <tabular pivotCacheId="262064054">
      <items count="3">
        <i x="0" s="1"/>
        <i x="2"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377BAC5-E04D-49E7-B788-01B609A93187}" sourceName="Region">
  <pivotTables>
    <pivotTable tabId="51" name="PivotTable11"/>
    <pivotTable tabId="47" name="PivotTable2"/>
    <pivotTable tabId="51" name="PivotTable1"/>
    <pivotTable tabId="51" name="PivotTable2"/>
    <pivotTable tabId="51" name="PivotTable3"/>
    <pivotTable tabId="51" name="PivotTable4"/>
    <pivotTable tabId="51" name="PivotTable6"/>
    <pivotTable tabId="51" name="PivotTable7"/>
    <pivotTable tabId="51" name="PivotTable8"/>
    <pivotTable tabId="51" name="PivotTable5"/>
    <pivotTable tabId="51" name="PivotTable10"/>
  </pivotTables>
  <data>
    <tabular pivotCacheId="262064054">
      <items count="5">
        <i x="3" s="1"/>
        <i x="1"/>
        <i x="0"/>
        <i x="2"/>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ED45B2A4-2573-4C61-81AD-F25D9E268D51}" sourceName="Payment Method">
  <pivotTables>
    <pivotTable tabId="51" name="PivotTable11"/>
    <pivotTable tabId="47" name="PivotTable2"/>
    <pivotTable tabId="51" name="PivotTable1"/>
    <pivotTable tabId="51" name="PivotTable2"/>
    <pivotTable tabId="51" name="PivotTable3"/>
    <pivotTable tabId="51" name="PivotTable4"/>
    <pivotTable tabId="51" name="PivotTable6"/>
    <pivotTable tabId="51" name="PivotTable7"/>
    <pivotTable tabId="51" name="PivotTable8"/>
    <pivotTable tabId="51" name="PivotTable5"/>
    <pivotTable tabId="51" name="PivotTable10"/>
  </pivotTables>
  <data>
    <tabular pivotCacheId="262064054">
      <items count="5">
        <i x="3" s="1"/>
        <i x="0"/>
        <i x="1" s="1"/>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1" xr10:uid="{57379A61-2166-4003-8B4E-E713B7821EB5}" cache="Slicer_Delivery_Status1" caption="Delivery Status" style="SlicerStyleDark5" rowHeight="234710"/>
  <slicer name="Region 2" xr10:uid="{4D3BFCC2-8971-4A1D-941D-4FF96E7DD2A8}" cache="Slicer_Region1" caption="Region" style="SlicerStyleDark5" rowHeight="234710"/>
  <slicer name="Payment Method 3" xr10:uid="{92E6F10E-BA7C-45FE-8A72-9FF28E29AEE3}" cache="Slicer_Payment_Method1" caption="Payment Method" startItem="1" style="SlicerStyleDark5" rowHeight="23471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430F0A-457E-4283-83C8-23F6A45F01E8}" name="Table2" displayName="Table2" ref="A1:S101" totalsRowShown="0">
  <autoFilter ref="A1:S101" xr:uid="{1E430F0A-457E-4283-83C8-23F6A45F01E8}"/>
  <tableColumns count="19">
    <tableColumn id="1" xr3:uid="{D812AFF0-D649-4203-ACAE-0479629D8596}" name="Order ID"/>
    <tableColumn id="2" xr3:uid="{CD211C5B-8144-4A97-9D07-C9715E4BF77C}" name="Customer ID"/>
    <tableColumn id="3" xr3:uid="{142502D2-CB2D-4C50-8872-84354A3161D4}" name="Product ID"/>
    <tableColumn id="4" xr3:uid="{B8CD9563-DB32-44ED-AD0F-B41AABFB9990}" name="Region"/>
    <tableColumn id="5" xr3:uid="{03676D6F-0E56-4AD3-9791-CF740C6001CA}" name="Sale Price/Unit"/>
    <tableColumn id="6" xr3:uid="{19B6A00B-812B-434F-A8EA-52349F0C372B}" name="Quantity"/>
    <tableColumn id="7" xr3:uid="{3C176E93-5C87-4184-83B7-0CC627E4839A}" name="Total Amount"/>
    <tableColumn id="8" xr3:uid="{E9E4BA2B-61B1-4FCA-BA5C-9F3C52EDCDA4}" name="Payment Method"/>
    <tableColumn id="9" xr3:uid="{A69656A1-D3E8-470D-A153-853870355BD7}" name="Delivery Status"/>
    <tableColumn id="10" xr3:uid="{A5F1264F-8568-43EC-8045-E69CA75DD67F}" name="Fulfillment Partner"/>
    <tableColumn id="11" xr3:uid="{345D858E-B4AA-4B39-A58E-6D2FA5685A7F}" name="Order Date" dataDxfId="16"/>
    <tableColumn id="12" xr3:uid="{99A092D3-690D-4ED1-BC96-F6E89D24208F}" name="Delivery Date" dataDxfId="15"/>
    <tableColumn id="13" xr3:uid="{8CCE9A65-7D0A-41BC-B50C-A01E5BA262F2}" name="Cancel Date"/>
    <tableColumn id="14" xr3:uid="{0E46C5DE-28A7-4947-919B-A307ECD48F96}" name="Cancelled Delivery"/>
    <tableColumn id="15" xr3:uid="{25D2F6F4-1A4A-43EA-B36E-ADEE22D1C6EC}" name="Product category"/>
    <tableColumn id="16" xr3:uid="{60BBFC22-A49F-46D8-B8B2-F2A489C55F7E}" name="Average Time"/>
    <tableColumn id="17" xr3:uid="{57F6D04B-6AEA-4CF9-B6F5-FA1A13FEA47D}" name="Customer Name"/>
    <tableColumn id="18" xr3:uid="{6C7B2C11-9878-4BAF-B863-73598E8A1C2F}" name="Delivery Performance"/>
    <tableColumn id="19" xr3:uid="{B8D6050A-998B-453C-9DEF-23A20CDFBD35}" name="Produc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08D6A-F1F6-4304-BC24-D0B806C6D2FA}" name="Table1" displayName="Table1" ref="A1:S101" totalsRowShown="0" headerRowDxfId="14" tableBorderDxfId="13">
  <autoFilter ref="A1:S101" xr:uid="{22B08D6A-F1F6-4304-BC24-D0B806C6D2FA}"/>
  <tableColumns count="19">
    <tableColumn id="1" xr3:uid="{94BDA7C7-2210-441F-858A-CC4C78872437}" name="Order ID" dataDxfId="12"/>
    <tableColumn id="2" xr3:uid="{D10427C5-299A-4A18-AB6C-8557D58F4568}" name="Customer ID" dataDxfId="11"/>
    <tableColumn id="3" xr3:uid="{86CB8759-AB14-4309-A4C3-7D2343D488B3}" name="Product ID" dataDxfId="10"/>
    <tableColumn id="4" xr3:uid="{7FE1FF50-FC82-40B4-923C-810450410664}" name="Region" dataDxfId="9"/>
    <tableColumn id="5" xr3:uid="{F3A12489-3463-4F0F-8B72-A868E8BAC879}" name="Sale Price/Unit" dataDxfId="8"/>
    <tableColumn id="6" xr3:uid="{C03FAEE4-8259-4666-A701-7176886D0119}" name="Quantity" dataDxfId="7"/>
    <tableColumn id="7" xr3:uid="{D7452734-6891-4CD3-8176-3D36ED78036E}" name="Total Amount" dataDxfId="6"/>
    <tableColumn id="8" xr3:uid="{56E1BBC6-2006-435D-A716-88D692CFDA79}" name="Payment Method" dataDxfId="5"/>
    <tableColumn id="9" xr3:uid="{25B76F04-4B36-46D9-96FE-BC271D697C14}" name="Delivery Status" dataDxfId="4"/>
    <tableColumn id="10" xr3:uid="{5F5F5BC0-AF1D-4C75-AC6A-91143B3D28C9}" name="Fulfillment Partner" dataDxfId="3"/>
    <tableColumn id="11" xr3:uid="{5E67091C-9398-4452-BACD-0167031C3BA2}" name="Order Date" dataDxfId="2"/>
    <tableColumn id="12" xr3:uid="{B6893CE4-8FB1-41E9-97C8-C569333BF055}" name="Delivery Date" dataDxfId="1"/>
    <tableColumn id="13" xr3:uid="{DA23B919-9314-4465-8C59-39556FDE2404}" name="Cancel Date" dataDxfId="0"/>
    <tableColumn id="14" xr3:uid="{9A5A0D4B-FF8A-4021-A7D5-31D93D420E09}" name="Cancelled Delivery">
      <calculatedColumnFormula>IF(OR(I2="Cancelled",M2&lt;&gt;""),"Yes","No")</calculatedColumnFormula>
    </tableColumn>
    <tableColumn id="15" xr3:uid="{AD41CC29-3A9E-4DB0-9608-FD0A0E815D8B}" name="Product category">
      <calculatedColumnFormula>_xlfn.XLOOKUP(C2,'Product Master'!$A$2:$A$23,'Product Master'!$C$2:$C$23)</calculatedColumnFormula>
    </tableColumn>
    <tableColumn id="16" xr3:uid="{DCE0EEAE-3187-4031-B31B-D6AC853D39EC}" name="Average Time">
      <calculatedColumnFormula>IF(L2&lt;&gt;"",L2-K2,"NA")</calculatedColumnFormula>
    </tableColumn>
    <tableColumn id="17" xr3:uid="{0227A166-E1EA-4009-883B-4B1256E082C0}" name="Customer Name">
      <calculatedColumnFormula>_xlfn.XLOOKUP(B2,'Customer Master'!$A$2:$A$50,'Customer Master'!$B$2:$B$50)</calculatedColumnFormula>
    </tableColumn>
    <tableColumn id="18" xr3:uid="{E5DC441A-ED45-4261-9635-C744EF538E27}" name="Delivery Performance">
      <calculatedColumnFormula array="1">_xlfn.IFS(P2="NA","NA",P2&lt;=2,"Fast",P2&gt;=2,"Slow")</calculatedColumnFormula>
    </tableColumn>
    <tableColumn id="19" xr3:uid="{47DD8D85-57FB-4053-90F7-D2B56BA8148B}" name="Product Name">
      <calculatedColumnFormula>_xlfn.XLOOKUP(C2,'Product Master'!$A$2:$A$23,'Product Master'!$B$2:$B$23)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95321-9B8D-460E-B33A-13DD0E0882A3}">
  <dimension ref="A2:I134"/>
  <sheetViews>
    <sheetView topLeftCell="A49" workbookViewId="0">
      <selection activeCell="A117" sqref="A117"/>
    </sheetView>
  </sheetViews>
  <sheetFormatPr defaultRowHeight="14.3" x14ac:dyDescent="0.25"/>
  <cols>
    <col min="1" max="1" width="12.625" bestFit="1" customWidth="1"/>
    <col min="2" max="2" width="19.5" bestFit="1" customWidth="1"/>
    <col min="3" max="3" width="3.625" bestFit="1" customWidth="1"/>
    <col min="4" max="4" width="11" bestFit="1" customWidth="1"/>
    <col min="5" max="5" width="4.75" bestFit="1" customWidth="1"/>
    <col min="6" max="7" width="11" bestFit="1" customWidth="1"/>
    <col min="8" max="8" width="18" bestFit="1" customWidth="1"/>
    <col min="9" max="9" width="6.75" bestFit="1" customWidth="1"/>
    <col min="13" max="13" width="18" bestFit="1" customWidth="1"/>
  </cols>
  <sheetData>
    <row r="2" spans="1:6" ht="20.399999999999999" x14ac:dyDescent="0.45">
      <c r="A2" s="29" t="s">
        <v>335</v>
      </c>
      <c r="B2" s="28"/>
    </row>
    <row r="4" spans="1:6" x14ac:dyDescent="0.25">
      <c r="A4" s="26" t="s">
        <v>346</v>
      </c>
      <c r="B4" s="20"/>
      <c r="C4" s="20"/>
      <c r="D4" s="20"/>
    </row>
    <row r="5" spans="1:6" x14ac:dyDescent="0.25">
      <c r="A5" s="26"/>
      <c r="B5" s="20"/>
      <c r="C5" s="20"/>
      <c r="D5" s="20"/>
    </row>
    <row r="6" spans="1:6" x14ac:dyDescent="0.25">
      <c r="A6" s="10"/>
    </row>
    <row r="7" spans="1:6" x14ac:dyDescent="0.25">
      <c r="A7" s="9" t="s">
        <v>317</v>
      </c>
      <c r="B7" s="9" t="s">
        <v>318</v>
      </c>
    </row>
    <row r="8" spans="1:6" x14ac:dyDescent="0.25">
      <c r="A8" s="9" t="s">
        <v>315</v>
      </c>
      <c r="B8" t="s">
        <v>200</v>
      </c>
      <c r="C8" t="s">
        <v>211</v>
      </c>
      <c r="D8" t="s">
        <v>206</v>
      </c>
      <c r="E8" t="s">
        <v>203</v>
      </c>
      <c r="F8" t="s">
        <v>316</v>
      </c>
    </row>
    <row r="9" spans="1:6" x14ac:dyDescent="0.25">
      <c r="A9" s="10" t="s">
        <v>30</v>
      </c>
      <c r="B9" s="14">
        <v>1056</v>
      </c>
      <c r="C9" s="14">
        <v>88</v>
      </c>
      <c r="D9" s="14">
        <v>685</v>
      </c>
      <c r="E9" s="14">
        <v>291</v>
      </c>
      <c r="F9" s="14">
        <v>2120</v>
      </c>
    </row>
    <row r="10" spans="1:6" x14ac:dyDescent="0.25">
      <c r="A10" s="10" t="s">
        <v>316</v>
      </c>
      <c r="B10" s="14">
        <v>1056</v>
      </c>
      <c r="C10" s="14">
        <v>88</v>
      </c>
      <c r="D10" s="14">
        <v>685</v>
      </c>
      <c r="E10" s="14">
        <v>291</v>
      </c>
      <c r="F10" s="14">
        <v>2120</v>
      </c>
    </row>
    <row r="18" spans="1:4" x14ac:dyDescent="0.25">
      <c r="A18" s="26" t="s">
        <v>345</v>
      </c>
      <c r="B18" s="27"/>
      <c r="C18" s="27"/>
      <c r="D18" s="14"/>
    </row>
    <row r="20" spans="1:4" x14ac:dyDescent="0.25">
      <c r="A20" s="9" t="s">
        <v>315</v>
      </c>
      <c r="B20" t="s">
        <v>319</v>
      </c>
    </row>
    <row r="21" spans="1:4" x14ac:dyDescent="0.25">
      <c r="A21" s="10" t="s">
        <v>14</v>
      </c>
      <c r="B21" s="14">
        <v>2</v>
      </c>
    </row>
    <row r="22" spans="1:4" x14ac:dyDescent="0.25">
      <c r="A22" s="10" t="s">
        <v>22</v>
      </c>
      <c r="B22" s="14">
        <v>3</v>
      </c>
    </row>
    <row r="23" spans="1:4" x14ac:dyDescent="0.25">
      <c r="A23" s="10" t="s">
        <v>316</v>
      </c>
      <c r="B23" s="14">
        <v>5</v>
      </c>
    </row>
    <row r="25" spans="1:4" x14ac:dyDescent="0.25">
      <c r="A25" s="10"/>
      <c r="B25" s="14"/>
    </row>
    <row r="26" spans="1:4" x14ac:dyDescent="0.25">
      <c r="A26" s="10"/>
      <c r="B26" s="14"/>
    </row>
    <row r="27" spans="1:4" x14ac:dyDescent="0.25">
      <c r="A27" s="20" t="s">
        <v>343</v>
      </c>
      <c r="B27" s="20"/>
      <c r="C27" s="20"/>
    </row>
    <row r="28" spans="1:4" x14ac:dyDescent="0.25">
      <c r="A28" s="20" t="s">
        <v>344</v>
      </c>
      <c r="B28" s="20"/>
      <c r="C28" s="20"/>
    </row>
    <row r="29" spans="1:4" x14ac:dyDescent="0.25">
      <c r="A29" s="20"/>
      <c r="B29" s="20"/>
      <c r="C29" s="20"/>
    </row>
    <row r="30" spans="1:4" x14ac:dyDescent="0.25">
      <c r="A30" s="20"/>
      <c r="B30" s="20"/>
      <c r="C30" s="20"/>
    </row>
    <row r="32" spans="1:4" x14ac:dyDescent="0.25">
      <c r="A32" s="10"/>
      <c r="B32" s="9" t="s">
        <v>312</v>
      </c>
      <c r="C32" t="s">
        <v>320</v>
      </c>
    </row>
    <row r="33" spans="1:3" x14ac:dyDescent="0.25">
      <c r="A33" s="10"/>
      <c r="B33" s="9" t="s">
        <v>5</v>
      </c>
      <c r="C33" t="s">
        <v>352</v>
      </c>
    </row>
    <row r="34" spans="1:3" x14ac:dyDescent="0.25">
      <c r="A34" s="10"/>
    </row>
    <row r="35" spans="1:3" x14ac:dyDescent="0.25">
      <c r="B35" s="9" t="s">
        <v>315</v>
      </c>
      <c r="C35" t="s">
        <v>334</v>
      </c>
    </row>
    <row r="36" spans="1:3" x14ac:dyDescent="0.25">
      <c r="B36" s="10" t="s">
        <v>30</v>
      </c>
      <c r="C36" s="14">
        <v>5</v>
      </c>
    </row>
    <row r="37" spans="1:3" x14ac:dyDescent="0.25">
      <c r="B37" s="10" t="s">
        <v>316</v>
      </c>
      <c r="C37" s="14">
        <v>5</v>
      </c>
    </row>
    <row r="42" spans="1:3" x14ac:dyDescent="0.25">
      <c r="B42" s="10"/>
      <c r="C42" s="14"/>
    </row>
    <row r="43" spans="1:3" x14ac:dyDescent="0.25">
      <c r="B43" s="10"/>
      <c r="C43" s="14"/>
    </row>
    <row r="44" spans="1:3" x14ac:dyDescent="0.25">
      <c r="B44" s="10"/>
      <c r="C44" s="14"/>
    </row>
    <row r="45" spans="1:3" x14ac:dyDescent="0.25">
      <c r="B45" s="10"/>
      <c r="C45" s="14"/>
    </row>
    <row r="46" spans="1:3" ht="17.7" x14ac:dyDescent="0.4">
      <c r="A46" s="28" t="s">
        <v>347</v>
      </c>
    </row>
    <row r="47" spans="1:3" ht="17.7" x14ac:dyDescent="0.4">
      <c r="A47" s="28"/>
    </row>
    <row r="49" spans="1:7" ht="15.65" x14ac:dyDescent="0.25">
      <c r="A49" s="17" t="s">
        <v>336</v>
      </c>
      <c r="B49" s="18"/>
      <c r="C49" s="18"/>
      <c r="D49" s="18"/>
    </row>
    <row r="50" spans="1:7" ht="15.65" x14ac:dyDescent="0.25">
      <c r="A50" s="17"/>
      <c r="B50" s="18"/>
      <c r="C50" s="18"/>
      <c r="D50" s="18"/>
    </row>
    <row r="51" spans="1:7" ht="15.65" x14ac:dyDescent="0.25">
      <c r="A51" s="17"/>
      <c r="B51" s="18"/>
      <c r="C51" s="18"/>
      <c r="D51" s="18"/>
    </row>
    <row r="53" spans="1:7" x14ac:dyDescent="0.25">
      <c r="A53" s="9" t="s">
        <v>321</v>
      </c>
      <c r="B53" s="9" t="s">
        <v>318</v>
      </c>
    </row>
    <row r="54" spans="1:7" x14ac:dyDescent="0.25">
      <c r="A54" s="9" t="s">
        <v>315</v>
      </c>
      <c r="B54" t="s">
        <v>330</v>
      </c>
      <c r="C54" t="s">
        <v>326</v>
      </c>
      <c r="D54" t="s">
        <v>316</v>
      </c>
    </row>
    <row r="55" spans="1:7" x14ac:dyDescent="0.25">
      <c r="A55" s="10" t="s">
        <v>30</v>
      </c>
      <c r="B55" s="14">
        <v>3</v>
      </c>
      <c r="C55" s="14">
        <v>2</v>
      </c>
      <c r="D55" s="14">
        <v>5</v>
      </c>
    </row>
    <row r="56" spans="1:7" x14ac:dyDescent="0.25">
      <c r="A56" s="10" t="s">
        <v>316</v>
      </c>
      <c r="B56" s="14">
        <v>3</v>
      </c>
      <c r="C56" s="14">
        <v>2</v>
      </c>
      <c r="D56" s="14">
        <v>5</v>
      </c>
    </row>
    <row r="61" spans="1:7" x14ac:dyDescent="0.25">
      <c r="A61" s="10"/>
      <c r="B61" s="14"/>
      <c r="C61" s="14"/>
      <c r="D61" s="14"/>
    </row>
    <row r="62" spans="1:7" x14ac:dyDescent="0.25">
      <c r="A62" s="10"/>
      <c r="B62" s="14"/>
      <c r="C62" s="14"/>
      <c r="D62" s="14"/>
    </row>
    <row r="63" spans="1:7" x14ac:dyDescent="0.25">
      <c r="A63" s="10"/>
      <c r="B63" s="14"/>
      <c r="C63" s="14"/>
      <c r="D63" s="14"/>
    </row>
    <row r="64" spans="1:7" ht="15.65" x14ac:dyDescent="0.25">
      <c r="A64" s="17" t="s">
        <v>337</v>
      </c>
      <c r="B64" s="19"/>
      <c r="C64" s="19"/>
      <c r="D64" s="19"/>
      <c r="E64" s="18"/>
      <c r="F64" s="20"/>
      <c r="G64" s="20"/>
    </row>
    <row r="65" spans="1:7" ht="15.65" x14ac:dyDescent="0.25">
      <c r="A65" s="17"/>
      <c r="B65" s="19"/>
      <c r="C65" s="19"/>
      <c r="D65" s="19"/>
      <c r="E65" s="18"/>
      <c r="F65" s="20"/>
      <c r="G65" s="20"/>
    </row>
    <row r="66" spans="1:7" x14ac:dyDescent="0.25">
      <c r="A66" s="10"/>
      <c r="B66" s="14"/>
      <c r="C66" s="14"/>
      <c r="D66" s="14"/>
    </row>
    <row r="67" spans="1:7" x14ac:dyDescent="0.25">
      <c r="A67" s="9" t="s">
        <v>6</v>
      </c>
      <c r="B67" t="s">
        <v>352</v>
      </c>
      <c r="C67" s="14"/>
      <c r="D67" s="14"/>
    </row>
    <row r="68" spans="1:7" x14ac:dyDescent="0.25">
      <c r="A68" s="10"/>
      <c r="B68" s="14"/>
      <c r="C68" s="14"/>
      <c r="D68" s="14"/>
    </row>
    <row r="69" spans="1:7" x14ac:dyDescent="0.25">
      <c r="A69" t="s">
        <v>317</v>
      </c>
      <c r="C69" s="14"/>
      <c r="D69" s="14"/>
    </row>
    <row r="70" spans="1:7" x14ac:dyDescent="0.25">
      <c r="A70" s="14">
        <v>2120</v>
      </c>
      <c r="C70" s="14"/>
      <c r="D70" s="14"/>
    </row>
    <row r="71" spans="1:7" x14ac:dyDescent="0.25">
      <c r="A71" s="14"/>
      <c r="C71" s="14"/>
      <c r="D71" s="14"/>
    </row>
    <row r="73" spans="1:7" ht="15.65" x14ac:dyDescent="0.25">
      <c r="A73" s="21" t="s">
        <v>338</v>
      </c>
      <c r="B73" s="20"/>
      <c r="C73" s="20"/>
    </row>
    <row r="74" spans="1:7" x14ac:dyDescent="0.25">
      <c r="A74" s="16"/>
    </row>
    <row r="75" spans="1:7" x14ac:dyDescent="0.25">
      <c r="A75" s="22" t="s">
        <v>339</v>
      </c>
      <c r="B75" s="23"/>
    </row>
    <row r="77" spans="1:7" x14ac:dyDescent="0.25">
      <c r="A77" t="s">
        <v>317</v>
      </c>
      <c r="C77" t="s">
        <v>328</v>
      </c>
    </row>
    <row r="78" spans="1:7" x14ac:dyDescent="0.25">
      <c r="A78" s="14">
        <v>2120</v>
      </c>
      <c r="C78" t="str">
        <f>TEXT(A78,"#,##")</f>
        <v>2,120</v>
      </c>
    </row>
    <row r="79" spans="1:7" x14ac:dyDescent="0.25">
      <c r="A79" s="14"/>
    </row>
    <row r="80" spans="1:7" x14ac:dyDescent="0.25">
      <c r="A80" s="14"/>
    </row>
    <row r="81" spans="1:4" x14ac:dyDescent="0.25">
      <c r="A81" s="14"/>
    </row>
    <row r="82" spans="1:4" x14ac:dyDescent="0.25">
      <c r="A82" s="14"/>
    </row>
    <row r="83" spans="1:4" x14ac:dyDescent="0.25">
      <c r="A83" s="22" t="s">
        <v>340</v>
      </c>
      <c r="B83" s="23"/>
    </row>
    <row r="85" spans="1:4" x14ac:dyDescent="0.25">
      <c r="A85" s="9" t="s">
        <v>315</v>
      </c>
      <c r="B85" t="s">
        <v>317</v>
      </c>
      <c r="D85" t="s">
        <v>329</v>
      </c>
    </row>
    <row r="86" spans="1:4" x14ac:dyDescent="0.25">
      <c r="A86" s="10" t="s">
        <v>30</v>
      </c>
      <c r="B86" s="14">
        <v>2120</v>
      </c>
      <c r="D86" t="str">
        <f>A86</f>
        <v>Central</v>
      </c>
    </row>
    <row r="87" spans="1:4" x14ac:dyDescent="0.25">
      <c r="A87" s="10" t="s">
        <v>316</v>
      </c>
      <c r="B87" s="14">
        <v>2120</v>
      </c>
      <c r="D87" t="str">
        <f>A87</f>
        <v>Grand Total</v>
      </c>
    </row>
    <row r="88" spans="1:4" x14ac:dyDescent="0.25">
      <c r="D88">
        <f>A88</f>
        <v>0</v>
      </c>
    </row>
    <row r="95" spans="1:4" x14ac:dyDescent="0.25">
      <c r="A95" s="24" t="s">
        <v>341</v>
      </c>
      <c r="B95" s="23"/>
    </row>
    <row r="97" spans="1:9" x14ac:dyDescent="0.25">
      <c r="B97" s="9" t="s">
        <v>318</v>
      </c>
    </row>
    <row r="98" spans="1:9" x14ac:dyDescent="0.25">
      <c r="B98" t="s">
        <v>325</v>
      </c>
      <c r="C98" t="s">
        <v>316</v>
      </c>
      <c r="G98" t="s">
        <v>322</v>
      </c>
    </row>
    <row r="99" spans="1:9" x14ac:dyDescent="0.25">
      <c r="A99" t="s">
        <v>321</v>
      </c>
      <c r="B99" s="14">
        <v>5</v>
      </c>
      <c r="C99" s="14">
        <v>5</v>
      </c>
      <c r="G99" s="11">
        <f>B99/(B99+D99)</f>
        <v>1</v>
      </c>
      <c r="I99" s="11">
        <f>G99</f>
        <v>1</v>
      </c>
    </row>
    <row r="100" spans="1:9" x14ac:dyDescent="0.25">
      <c r="B100" s="14"/>
      <c r="C100" s="14"/>
      <c r="D100" s="14"/>
      <c r="G100" s="11"/>
      <c r="I100" s="11"/>
    </row>
    <row r="101" spans="1:9" x14ac:dyDescent="0.25">
      <c r="B101" s="14"/>
      <c r="C101" s="14"/>
      <c r="D101" s="14"/>
      <c r="G101" s="11"/>
      <c r="I101" s="11"/>
    </row>
    <row r="104" spans="1:9" x14ac:dyDescent="0.25">
      <c r="A104" s="25" t="s">
        <v>342</v>
      </c>
      <c r="B104" s="23"/>
    </row>
    <row r="106" spans="1:9" x14ac:dyDescent="0.25">
      <c r="A106" s="9" t="s">
        <v>315</v>
      </c>
      <c r="B106" t="s">
        <v>319</v>
      </c>
      <c r="D106" t="s">
        <v>333</v>
      </c>
    </row>
    <row r="107" spans="1:9" x14ac:dyDescent="0.25">
      <c r="A107" s="10" t="s">
        <v>242</v>
      </c>
      <c r="B107" s="14">
        <v>1</v>
      </c>
      <c r="D107" t="str">
        <f>A107</f>
        <v>Bluetooth Speaker</v>
      </c>
    </row>
    <row r="108" spans="1:9" x14ac:dyDescent="0.25">
      <c r="A108" s="10" t="s">
        <v>205</v>
      </c>
      <c r="B108" s="14">
        <v>1</v>
      </c>
      <c r="D108" t="str">
        <f>A108</f>
        <v>Cookware Set</v>
      </c>
    </row>
    <row r="109" spans="1:9" x14ac:dyDescent="0.25">
      <c r="A109" s="10" t="s">
        <v>238</v>
      </c>
      <c r="B109" s="14">
        <v>1</v>
      </c>
    </row>
    <row r="110" spans="1:9" x14ac:dyDescent="0.25">
      <c r="A110" s="10" t="s">
        <v>240</v>
      </c>
      <c r="B110" s="14">
        <v>1</v>
      </c>
    </row>
    <row r="111" spans="1:9" x14ac:dyDescent="0.25">
      <c r="A111" s="10" t="s">
        <v>230</v>
      </c>
      <c r="B111" s="14">
        <v>1</v>
      </c>
    </row>
    <row r="112" spans="1:9" x14ac:dyDescent="0.25">
      <c r="A112" s="10" t="s">
        <v>316</v>
      </c>
      <c r="B112" s="14">
        <v>5</v>
      </c>
      <c r="C112" s="20"/>
      <c r="D112" s="20"/>
      <c r="E112" s="23"/>
    </row>
    <row r="113" spans="1:2" ht="14.3" customHeight="1" x14ac:dyDescent="0.25"/>
    <row r="114" spans="1:2" ht="14.3" customHeight="1" x14ac:dyDescent="0.25">
      <c r="A114" s="10"/>
      <c r="B114" s="14"/>
    </row>
    <row r="115" spans="1:2" ht="14.3" customHeight="1" x14ac:dyDescent="0.25">
      <c r="A115" s="10"/>
      <c r="B115" s="14"/>
    </row>
    <row r="116" spans="1:2" ht="14.3" customHeight="1" x14ac:dyDescent="0.25">
      <c r="A116" s="10"/>
      <c r="B116" s="14"/>
    </row>
    <row r="117" spans="1:2" ht="14.3" customHeight="1" x14ac:dyDescent="0.25">
      <c r="A117" s="31" t="s">
        <v>353</v>
      </c>
      <c r="B117" s="14"/>
    </row>
    <row r="118" spans="1:2" ht="14.3" customHeight="1" x14ac:dyDescent="0.25"/>
    <row r="119" spans="1:2" x14ac:dyDescent="0.25">
      <c r="A119" s="9" t="s">
        <v>315</v>
      </c>
      <c r="B119" t="s">
        <v>317</v>
      </c>
    </row>
    <row r="120" spans="1:2" x14ac:dyDescent="0.25">
      <c r="A120" s="30" t="s">
        <v>350</v>
      </c>
      <c r="B120" s="14">
        <v>685</v>
      </c>
    </row>
    <row r="121" spans="1:2" x14ac:dyDescent="0.25">
      <c r="A121" s="30" t="s">
        <v>348</v>
      </c>
      <c r="B121" s="14">
        <v>829</v>
      </c>
    </row>
    <row r="122" spans="1:2" x14ac:dyDescent="0.25">
      <c r="A122" s="30" t="s">
        <v>351</v>
      </c>
      <c r="B122" s="14">
        <v>315</v>
      </c>
    </row>
    <row r="123" spans="1:2" x14ac:dyDescent="0.25">
      <c r="A123" s="30" t="s">
        <v>349</v>
      </c>
      <c r="B123" s="14">
        <v>291</v>
      </c>
    </row>
    <row r="124" spans="1:2" x14ac:dyDescent="0.25">
      <c r="A124" s="30" t="s">
        <v>316</v>
      </c>
      <c r="B124" s="14">
        <v>2120</v>
      </c>
    </row>
    <row r="133" ht="15.65" customHeight="1" x14ac:dyDescent="0.25"/>
    <row r="134" ht="13.6" customHeight="1" x14ac:dyDescent="0.25"/>
  </sheetData>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84FD-DE9F-44EF-95E0-D1D455B36B70}">
  <dimension ref="A1"/>
  <sheetViews>
    <sheetView zoomScale="70" zoomScaleNormal="70" workbookViewId="0">
      <selection activeCell="B5" sqref="B5"/>
    </sheetView>
  </sheetViews>
  <sheetFormatPr defaultRowHeight="14.3" x14ac:dyDescent="0.25"/>
  <cols>
    <col min="1" max="1" width="5.375" customWidth="1"/>
    <col min="2" max="2" width="14.75" customWidth="1"/>
    <col min="3" max="3" width="4.625"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2E07-222F-4F8C-B656-FF0760E53BE5}">
  <dimension ref="A3:D19"/>
  <sheetViews>
    <sheetView topLeftCell="A4" workbookViewId="0">
      <selection activeCell="O17" sqref="O17"/>
    </sheetView>
  </sheetViews>
  <sheetFormatPr defaultRowHeight="14.3" x14ac:dyDescent="0.25"/>
  <cols>
    <col min="1" max="1" width="12.5" bestFit="1" customWidth="1"/>
    <col min="2" max="2" width="19.25" bestFit="1" customWidth="1"/>
  </cols>
  <sheetData>
    <row r="3" spans="1:4" x14ac:dyDescent="0.25">
      <c r="A3" s="9" t="s">
        <v>315</v>
      </c>
      <c r="B3" t="s">
        <v>317</v>
      </c>
      <c r="C3" s="12" t="s">
        <v>323</v>
      </c>
      <c r="D3" s="12" t="s">
        <v>324</v>
      </c>
    </row>
    <row r="4" spans="1:4" x14ac:dyDescent="0.25">
      <c r="A4" s="10" t="s">
        <v>30</v>
      </c>
      <c r="B4">
        <v>5456</v>
      </c>
      <c r="C4" t="e">
        <f>IF(B4&gt;6000,B4,NA())</f>
        <v>#N/A</v>
      </c>
      <c r="D4">
        <f>IF(B4&lt;6000,B4,NA())</f>
        <v>5456</v>
      </c>
    </row>
    <row r="5" spans="1:4" x14ac:dyDescent="0.25">
      <c r="A5" s="10" t="s">
        <v>17</v>
      </c>
      <c r="B5">
        <v>3635</v>
      </c>
      <c r="C5" t="e">
        <f>IF(B5&gt;6000,B5,NA())</f>
        <v>#N/A</v>
      </c>
      <c r="D5">
        <f>IF(B5&lt;6000,B5,NA())</f>
        <v>3635</v>
      </c>
    </row>
    <row r="6" spans="1:4" x14ac:dyDescent="0.25">
      <c r="A6" s="10" t="s">
        <v>12</v>
      </c>
      <c r="B6">
        <v>10491</v>
      </c>
      <c r="C6">
        <f>IF(B6&gt;6000,B6,NA())</f>
        <v>10491</v>
      </c>
      <c r="D6" t="e">
        <f>IF(B6&lt;6000,B6,NA())</f>
        <v>#N/A</v>
      </c>
    </row>
    <row r="7" spans="1:4" x14ac:dyDescent="0.25">
      <c r="A7" s="10" t="s">
        <v>21</v>
      </c>
      <c r="B7">
        <v>7317</v>
      </c>
      <c r="C7">
        <f>IF(B7&gt;6000,B7,NA())</f>
        <v>7317</v>
      </c>
      <c r="D7" t="e">
        <f>IF(B7&lt;6000,B7,NA())</f>
        <v>#N/A</v>
      </c>
    </row>
    <row r="8" spans="1:4" x14ac:dyDescent="0.25">
      <c r="A8" s="10" t="s">
        <v>33</v>
      </c>
      <c r="B8">
        <v>8359</v>
      </c>
      <c r="C8">
        <f>IF(B8&gt;6000,B8,NA())</f>
        <v>8359</v>
      </c>
      <c r="D8" t="e">
        <f>IF(B8&lt;6000,B8,NA())</f>
        <v>#N/A</v>
      </c>
    </row>
    <row r="9" spans="1:4" x14ac:dyDescent="0.25">
      <c r="A9" s="10" t="s">
        <v>316</v>
      </c>
      <c r="B9">
        <v>35258</v>
      </c>
    </row>
    <row r="13" spans="1:4" x14ac:dyDescent="0.25">
      <c r="A13" t="s">
        <v>315</v>
      </c>
      <c r="B13" t="s">
        <v>317</v>
      </c>
      <c r="C13" t="s">
        <v>323</v>
      </c>
      <c r="D13" t="s">
        <v>324</v>
      </c>
    </row>
    <row r="14" spans="1:4" x14ac:dyDescent="0.25">
      <c r="A14" t="s">
        <v>30</v>
      </c>
      <c r="B14">
        <v>5456</v>
      </c>
      <c r="C14" t="e">
        <v>#N/A</v>
      </c>
      <c r="D14">
        <v>5456</v>
      </c>
    </row>
    <row r="15" spans="1:4" x14ac:dyDescent="0.25">
      <c r="A15" t="s">
        <v>17</v>
      </c>
      <c r="B15">
        <v>3635</v>
      </c>
      <c r="C15" t="e">
        <v>#N/A</v>
      </c>
      <c r="D15">
        <v>3635</v>
      </c>
    </row>
    <row r="16" spans="1:4" x14ac:dyDescent="0.25">
      <c r="A16" t="s">
        <v>12</v>
      </c>
      <c r="B16">
        <v>10491</v>
      </c>
      <c r="C16">
        <v>10491</v>
      </c>
      <c r="D16" t="e">
        <v>#N/A</v>
      </c>
    </row>
    <row r="17" spans="1:4" x14ac:dyDescent="0.25">
      <c r="A17" t="s">
        <v>21</v>
      </c>
      <c r="B17">
        <v>7317</v>
      </c>
      <c r="C17">
        <v>7317</v>
      </c>
      <c r="D17" t="e">
        <v>#N/A</v>
      </c>
    </row>
    <row r="18" spans="1:4" x14ac:dyDescent="0.25">
      <c r="A18" t="s">
        <v>33</v>
      </c>
      <c r="B18">
        <v>8359</v>
      </c>
      <c r="C18">
        <v>8359</v>
      </c>
      <c r="D18" t="e">
        <v>#N/A</v>
      </c>
    </row>
    <row r="19" spans="1:4" x14ac:dyDescent="0.25">
      <c r="A19" t="s">
        <v>316</v>
      </c>
      <c r="B19">
        <v>35258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7202-60CB-4386-8CF0-D308258983A0}">
  <dimension ref="A3:B9"/>
  <sheetViews>
    <sheetView workbookViewId="0">
      <selection activeCell="B5" sqref="B5"/>
    </sheetView>
  </sheetViews>
  <sheetFormatPr defaultRowHeight="14.3" x14ac:dyDescent="0.25"/>
  <cols>
    <col min="1" max="1" width="12.625" bestFit="1" customWidth="1"/>
    <col min="2" max="2" width="19.375" bestFit="1" customWidth="1"/>
  </cols>
  <sheetData>
    <row r="3" spans="1:2" x14ac:dyDescent="0.25">
      <c r="A3" s="9" t="s">
        <v>315</v>
      </c>
      <c r="B3" t="s">
        <v>327</v>
      </c>
    </row>
    <row r="4" spans="1:2" x14ac:dyDescent="0.25">
      <c r="A4" s="10">
        <v>44</v>
      </c>
      <c r="B4" s="14">
        <v>1</v>
      </c>
    </row>
    <row r="5" spans="1:2" x14ac:dyDescent="0.25">
      <c r="A5" s="10">
        <v>97</v>
      </c>
      <c r="B5" s="14">
        <v>1</v>
      </c>
    </row>
    <row r="6" spans="1:2" x14ac:dyDescent="0.25">
      <c r="A6" s="10">
        <v>105</v>
      </c>
      <c r="B6" s="14">
        <v>1</v>
      </c>
    </row>
    <row r="7" spans="1:2" x14ac:dyDescent="0.25">
      <c r="A7" s="10">
        <v>137</v>
      </c>
      <c r="B7" s="14">
        <v>1</v>
      </c>
    </row>
    <row r="8" spans="1:2" x14ac:dyDescent="0.25">
      <c r="A8" s="10">
        <v>247</v>
      </c>
      <c r="B8" s="14">
        <v>1</v>
      </c>
    </row>
    <row r="9" spans="1:2" x14ac:dyDescent="0.25">
      <c r="A9" s="10" t="s">
        <v>316</v>
      </c>
      <c r="B9" s="14">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7998-62D4-459C-9F39-F273D44406CA}">
  <dimension ref="A1:S101"/>
  <sheetViews>
    <sheetView topLeftCell="A2" zoomScale="84" zoomScaleNormal="84" workbookViewId="0">
      <selection activeCell="A2" sqref="A2:S101"/>
    </sheetView>
  </sheetViews>
  <sheetFormatPr defaultRowHeight="14.3" x14ac:dyDescent="0.25"/>
  <cols>
    <col min="1" max="1" width="10.25" customWidth="1"/>
    <col min="2" max="2" width="13.375" customWidth="1"/>
    <col min="3" max="3" width="12.125" customWidth="1"/>
    <col min="5" max="5" width="15.75" customWidth="1"/>
    <col min="6" max="6" width="10.625" customWidth="1"/>
    <col min="7" max="7" width="14.875" customWidth="1"/>
    <col min="8" max="8" width="18" customWidth="1"/>
    <col min="9" max="9" width="15.875" customWidth="1"/>
    <col min="10" max="10" width="19.125" customWidth="1"/>
    <col min="11" max="11" width="12.5" customWidth="1"/>
    <col min="12" max="12" width="14.5" customWidth="1"/>
    <col min="13" max="13" width="13" customWidth="1"/>
    <col min="14" max="14" width="18.625" customWidth="1"/>
    <col min="15" max="15" width="17.875" customWidth="1"/>
    <col min="16" max="16" width="14.625" customWidth="1"/>
    <col min="17" max="17" width="16.625" customWidth="1"/>
    <col min="18" max="18" width="21.5" customWidth="1"/>
    <col min="19" max="19" width="15.375" customWidth="1"/>
  </cols>
  <sheetData>
    <row r="1" spans="1:19" x14ac:dyDescent="0.25">
      <c r="A1" t="s">
        <v>51</v>
      </c>
      <c r="B1" t="s">
        <v>52</v>
      </c>
      <c r="C1" t="s">
        <v>0</v>
      </c>
      <c r="D1" t="s">
        <v>1</v>
      </c>
      <c r="E1" t="s">
        <v>2</v>
      </c>
      <c r="F1" t="s">
        <v>3</v>
      </c>
      <c r="G1" t="s">
        <v>4</v>
      </c>
      <c r="H1" t="s">
        <v>5</v>
      </c>
      <c r="I1" t="s">
        <v>6</v>
      </c>
      <c r="J1" t="s">
        <v>7</v>
      </c>
      <c r="K1" t="s">
        <v>8</v>
      </c>
      <c r="L1" t="s">
        <v>9</v>
      </c>
      <c r="M1" t="s">
        <v>10</v>
      </c>
      <c r="N1" t="s">
        <v>311</v>
      </c>
      <c r="O1" t="s">
        <v>312</v>
      </c>
      <c r="P1" t="s">
        <v>313</v>
      </c>
      <c r="Q1" t="s">
        <v>249</v>
      </c>
      <c r="R1" t="s">
        <v>314</v>
      </c>
      <c r="S1" t="s">
        <v>53</v>
      </c>
    </row>
    <row r="2" spans="1:19" x14ac:dyDescent="0.25">
      <c r="A2" t="s">
        <v>54</v>
      </c>
      <c r="B2" t="s">
        <v>55</v>
      </c>
      <c r="C2" t="s">
        <v>11</v>
      </c>
      <c r="D2" t="s">
        <v>12</v>
      </c>
      <c r="E2">
        <v>44</v>
      </c>
      <c r="F2">
        <v>1</v>
      </c>
      <c r="G2">
        <v>44</v>
      </c>
      <c r="H2" t="s">
        <v>13</v>
      </c>
      <c r="I2" t="s">
        <v>14</v>
      </c>
      <c r="J2" t="s">
        <v>15</v>
      </c>
      <c r="K2" s="15">
        <v>45291</v>
      </c>
      <c r="M2" s="15">
        <v>45293</v>
      </c>
      <c r="N2" t="s">
        <v>326</v>
      </c>
      <c r="O2" t="s">
        <v>206</v>
      </c>
      <c r="P2" t="s">
        <v>325</v>
      </c>
      <c r="Q2" t="s">
        <v>291</v>
      </c>
      <c r="R2" t="s">
        <v>325</v>
      </c>
      <c r="S2" t="s">
        <v>226</v>
      </c>
    </row>
    <row r="3" spans="1:19" x14ac:dyDescent="0.25">
      <c r="A3" t="s">
        <v>56</v>
      </c>
      <c r="B3" t="s">
        <v>57</v>
      </c>
      <c r="C3" t="s">
        <v>16</v>
      </c>
      <c r="D3" t="s">
        <v>17</v>
      </c>
      <c r="E3">
        <v>96</v>
      </c>
      <c r="F3">
        <v>4</v>
      </c>
      <c r="G3">
        <v>384</v>
      </c>
      <c r="H3" t="s">
        <v>18</v>
      </c>
      <c r="I3" t="s">
        <v>19</v>
      </c>
      <c r="J3" t="s">
        <v>15</v>
      </c>
      <c r="K3" s="15">
        <v>44979</v>
      </c>
      <c r="L3" s="15">
        <v>44981</v>
      </c>
      <c r="N3" t="s">
        <v>330</v>
      </c>
      <c r="O3" t="s">
        <v>203</v>
      </c>
      <c r="P3">
        <v>2</v>
      </c>
      <c r="Q3" t="s">
        <v>285</v>
      </c>
      <c r="R3" t="s">
        <v>331</v>
      </c>
      <c r="S3" t="s">
        <v>238</v>
      </c>
    </row>
    <row r="4" spans="1:19" x14ac:dyDescent="0.25">
      <c r="A4" t="s">
        <v>58</v>
      </c>
      <c r="B4" t="s">
        <v>55</v>
      </c>
      <c r="C4" t="s">
        <v>20</v>
      </c>
      <c r="D4" t="s">
        <v>21</v>
      </c>
      <c r="E4">
        <v>194</v>
      </c>
      <c r="F4">
        <v>4</v>
      </c>
      <c r="G4">
        <v>776</v>
      </c>
      <c r="H4" t="s">
        <v>18</v>
      </c>
      <c r="I4" t="s">
        <v>22</v>
      </c>
      <c r="J4" t="s">
        <v>23</v>
      </c>
      <c r="K4" s="15">
        <v>45210</v>
      </c>
      <c r="N4" t="s">
        <v>330</v>
      </c>
      <c r="O4" t="s">
        <v>206</v>
      </c>
      <c r="P4" t="s">
        <v>325</v>
      </c>
      <c r="Q4" t="s">
        <v>291</v>
      </c>
      <c r="R4" t="s">
        <v>325</v>
      </c>
      <c r="S4" t="s">
        <v>228</v>
      </c>
    </row>
    <row r="5" spans="1:19" x14ac:dyDescent="0.25">
      <c r="A5" t="s">
        <v>59</v>
      </c>
      <c r="B5" t="s">
        <v>60</v>
      </c>
      <c r="C5" t="s">
        <v>20</v>
      </c>
      <c r="D5" t="s">
        <v>12</v>
      </c>
      <c r="E5">
        <v>196</v>
      </c>
      <c r="F5">
        <v>3</v>
      </c>
      <c r="G5">
        <v>588</v>
      </c>
      <c r="H5" t="s">
        <v>24</v>
      </c>
      <c r="I5" t="s">
        <v>14</v>
      </c>
      <c r="J5" t="s">
        <v>25</v>
      </c>
      <c r="K5" s="15">
        <v>45051</v>
      </c>
      <c r="M5" s="15">
        <v>45057</v>
      </c>
      <c r="N5" t="s">
        <v>326</v>
      </c>
      <c r="O5" t="s">
        <v>206</v>
      </c>
      <c r="P5" t="s">
        <v>325</v>
      </c>
      <c r="Q5" t="s">
        <v>308</v>
      </c>
      <c r="R5" t="s">
        <v>325</v>
      </c>
      <c r="S5" t="s">
        <v>228</v>
      </c>
    </row>
    <row r="6" spans="1:19" x14ac:dyDescent="0.25">
      <c r="A6" t="s">
        <v>61</v>
      </c>
      <c r="B6" t="s">
        <v>62</v>
      </c>
      <c r="C6" t="s">
        <v>26</v>
      </c>
      <c r="D6" t="s">
        <v>12</v>
      </c>
      <c r="E6">
        <v>59</v>
      </c>
      <c r="F6">
        <v>1</v>
      </c>
      <c r="G6">
        <v>59</v>
      </c>
      <c r="H6" t="s">
        <v>24</v>
      </c>
      <c r="I6" t="s">
        <v>19</v>
      </c>
      <c r="J6" t="s">
        <v>27</v>
      </c>
      <c r="K6" s="15">
        <v>44959</v>
      </c>
      <c r="L6" s="15">
        <v>44962</v>
      </c>
      <c r="N6" t="s">
        <v>330</v>
      </c>
      <c r="O6" t="s">
        <v>211</v>
      </c>
      <c r="P6">
        <v>3</v>
      </c>
      <c r="Q6" t="s">
        <v>294</v>
      </c>
      <c r="R6" t="s">
        <v>332</v>
      </c>
      <c r="S6" t="s">
        <v>222</v>
      </c>
    </row>
    <row r="7" spans="1:19" x14ac:dyDescent="0.25">
      <c r="A7" t="s">
        <v>63</v>
      </c>
      <c r="B7" t="s">
        <v>64</v>
      </c>
      <c r="C7" t="s">
        <v>26</v>
      </c>
      <c r="D7" t="s">
        <v>12</v>
      </c>
      <c r="E7">
        <v>58</v>
      </c>
      <c r="F7">
        <v>4</v>
      </c>
      <c r="G7">
        <v>232</v>
      </c>
      <c r="H7" t="s">
        <v>28</v>
      </c>
      <c r="I7" t="s">
        <v>14</v>
      </c>
      <c r="J7" t="s">
        <v>15</v>
      </c>
      <c r="K7" s="15">
        <v>45231</v>
      </c>
      <c r="M7" s="15">
        <v>45232</v>
      </c>
      <c r="N7" t="s">
        <v>326</v>
      </c>
      <c r="O7" t="s">
        <v>211</v>
      </c>
      <c r="P7" t="s">
        <v>325</v>
      </c>
      <c r="Q7" t="s">
        <v>275</v>
      </c>
      <c r="R7" t="s">
        <v>325</v>
      </c>
      <c r="S7" t="s">
        <v>222</v>
      </c>
    </row>
    <row r="8" spans="1:19" x14ac:dyDescent="0.25">
      <c r="A8" t="s">
        <v>65</v>
      </c>
      <c r="B8" t="s">
        <v>66</v>
      </c>
      <c r="C8" t="s">
        <v>29</v>
      </c>
      <c r="D8" t="s">
        <v>30</v>
      </c>
      <c r="E8">
        <v>105</v>
      </c>
      <c r="F8">
        <v>3</v>
      </c>
      <c r="G8">
        <v>315</v>
      </c>
      <c r="H8" t="s">
        <v>31</v>
      </c>
      <c r="I8" t="s">
        <v>14</v>
      </c>
      <c r="J8" t="s">
        <v>15</v>
      </c>
      <c r="K8" s="15">
        <v>45152</v>
      </c>
      <c r="M8" s="15">
        <v>45156</v>
      </c>
      <c r="N8" t="s">
        <v>326</v>
      </c>
      <c r="O8" t="s">
        <v>200</v>
      </c>
      <c r="P8" t="s">
        <v>325</v>
      </c>
      <c r="Q8" t="s">
        <v>264</v>
      </c>
      <c r="R8" t="s">
        <v>325</v>
      </c>
      <c r="S8" t="s">
        <v>242</v>
      </c>
    </row>
    <row r="9" spans="1:19" x14ac:dyDescent="0.25">
      <c r="A9" t="s">
        <v>67</v>
      </c>
      <c r="B9" t="s">
        <v>68</v>
      </c>
      <c r="C9" t="s">
        <v>32</v>
      </c>
      <c r="D9" t="s">
        <v>33</v>
      </c>
      <c r="E9">
        <v>37</v>
      </c>
      <c r="F9">
        <v>5</v>
      </c>
      <c r="G9">
        <v>185</v>
      </c>
      <c r="H9" t="s">
        <v>24</v>
      </c>
      <c r="I9" t="s">
        <v>14</v>
      </c>
      <c r="J9" t="s">
        <v>15</v>
      </c>
      <c r="K9" s="15">
        <v>45017</v>
      </c>
      <c r="M9" s="15">
        <v>45022</v>
      </c>
      <c r="N9" t="s">
        <v>326</v>
      </c>
      <c r="O9" t="s">
        <v>206</v>
      </c>
      <c r="P9" t="s">
        <v>325</v>
      </c>
      <c r="Q9" t="s">
        <v>269</v>
      </c>
      <c r="R9" t="s">
        <v>325</v>
      </c>
      <c r="S9" t="s">
        <v>244</v>
      </c>
    </row>
    <row r="10" spans="1:19" x14ac:dyDescent="0.25">
      <c r="A10" t="s">
        <v>69</v>
      </c>
      <c r="B10" t="s">
        <v>70</v>
      </c>
      <c r="C10" t="s">
        <v>34</v>
      </c>
      <c r="D10" t="s">
        <v>30</v>
      </c>
      <c r="E10">
        <v>44</v>
      </c>
      <c r="F10">
        <v>2</v>
      </c>
      <c r="G10">
        <v>88</v>
      </c>
      <c r="H10" t="s">
        <v>18</v>
      </c>
      <c r="I10" t="s">
        <v>22</v>
      </c>
      <c r="J10" t="s">
        <v>27</v>
      </c>
      <c r="K10" s="15">
        <v>45128</v>
      </c>
      <c r="N10" t="s">
        <v>330</v>
      </c>
      <c r="O10" t="s">
        <v>211</v>
      </c>
      <c r="P10" t="s">
        <v>325</v>
      </c>
      <c r="Q10" t="s">
        <v>268</v>
      </c>
      <c r="R10" t="s">
        <v>325</v>
      </c>
      <c r="S10" t="s">
        <v>240</v>
      </c>
    </row>
    <row r="11" spans="1:19" x14ac:dyDescent="0.25">
      <c r="A11" t="s">
        <v>71</v>
      </c>
      <c r="B11" t="s">
        <v>68</v>
      </c>
      <c r="C11" t="s">
        <v>35</v>
      </c>
      <c r="D11" t="s">
        <v>21</v>
      </c>
      <c r="E11">
        <v>141</v>
      </c>
      <c r="F11">
        <v>4</v>
      </c>
      <c r="G11">
        <v>564</v>
      </c>
      <c r="H11" t="s">
        <v>31</v>
      </c>
      <c r="I11" t="s">
        <v>22</v>
      </c>
      <c r="J11" t="s">
        <v>15</v>
      </c>
      <c r="K11" s="15">
        <v>45289</v>
      </c>
      <c r="N11" t="s">
        <v>330</v>
      </c>
      <c r="O11" t="s">
        <v>206</v>
      </c>
      <c r="P11" t="s">
        <v>325</v>
      </c>
      <c r="Q11" t="s">
        <v>269</v>
      </c>
      <c r="R11" t="s">
        <v>325</v>
      </c>
      <c r="S11" t="s">
        <v>205</v>
      </c>
    </row>
    <row r="12" spans="1:19" x14ac:dyDescent="0.25">
      <c r="A12" t="s">
        <v>72</v>
      </c>
      <c r="B12" t="s">
        <v>73</v>
      </c>
      <c r="C12" t="s">
        <v>36</v>
      </c>
      <c r="D12" t="s">
        <v>21</v>
      </c>
      <c r="E12">
        <v>249</v>
      </c>
      <c r="F12">
        <v>1</v>
      </c>
      <c r="G12">
        <v>249</v>
      </c>
      <c r="H12" t="s">
        <v>28</v>
      </c>
      <c r="I12" t="s">
        <v>14</v>
      </c>
      <c r="J12" t="s">
        <v>23</v>
      </c>
      <c r="K12" s="15">
        <v>45050</v>
      </c>
      <c r="M12" s="15">
        <v>45054</v>
      </c>
      <c r="N12" t="s">
        <v>326</v>
      </c>
      <c r="O12" t="s">
        <v>200</v>
      </c>
      <c r="P12" t="s">
        <v>325</v>
      </c>
      <c r="Q12" t="s">
        <v>257</v>
      </c>
      <c r="R12" t="s">
        <v>325</v>
      </c>
      <c r="S12" t="s">
        <v>230</v>
      </c>
    </row>
    <row r="13" spans="1:19" x14ac:dyDescent="0.25">
      <c r="A13" t="s">
        <v>74</v>
      </c>
      <c r="B13" t="s">
        <v>75</v>
      </c>
      <c r="C13" t="s">
        <v>36</v>
      </c>
      <c r="D13" t="s">
        <v>30</v>
      </c>
      <c r="E13">
        <v>247</v>
      </c>
      <c r="F13">
        <v>3</v>
      </c>
      <c r="G13">
        <v>741</v>
      </c>
      <c r="H13" t="s">
        <v>28</v>
      </c>
      <c r="I13" t="s">
        <v>22</v>
      </c>
      <c r="J13" t="s">
        <v>37</v>
      </c>
      <c r="K13" s="15">
        <v>45132</v>
      </c>
      <c r="N13" t="s">
        <v>330</v>
      </c>
      <c r="O13" t="s">
        <v>200</v>
      </c>
      <c r="P13" t="s">
        <v>325</v>
      </c>
      <c r="Q13" t="s">
        <v>257</v>
      </c>
      <c r="R13" t="s">
        <v>325</v>
      </c>
      <c r="S13" t="s">
        <v>230</v>
      </c>
    </row>
    <row r="14" spans="1:19" x14ac:dyDescent="0.25">
      <c r="A14" t="s">
        <v>76</v>
      </c>
      <c r="B14" t="s">
        <v>77</v>
      </c>
      <c r="C14" t="s">
        <v>38</v>
      </c>
      <c r="D14" t="s">
        <v>30</v>
      </c>
      <c r="E14">
        <v>96</v>
      </c>
      <c r="F14">
        <v>1</v>
      </c>
      <c r="G14">
        <v>96</v>
      </c>
      <c r="H14" t="s">
        <v>13</v>
      </c>
      <c r="I14" t="s">
        <v>14</v>
      </c>
      <c r="J14" t="s">
        <v>27</v>
      </c>
      <c r="K14" s="15">
        <v>44982</v>
      </c>
      <c r="M14" s="15">
        <v>44985</v>
      </c>
      <c r="N14" t="s">
        <v>326</v>
      </c>
      <c r="O14" t="s">
        <v>211</v>
      </c>
      <c r="P14" t="s">
        <v>325</v>
      </c>
      <c r="Q14" t="s">
        <v>292</v>
      </c>
      <c r="R14" t="s">
        <v>325</v>
      </c>
      <c r="S14" t="s">
        <v>213</v>
      </c>
    </row>
    <row r="15" spans="1:19" x14ac:dyDescent="0.25">
      <c r="A15" t="s">
        <v>78</v>
      </c>
      <c r="B15" t="s">
        <v>79</v>
      </c>
      <c r="C15" t="s">
        <v>39</v>
      </c>
      <c r="D15" t="s">
        <v>33</v>
      </c>
      <c r="E15">
        <v>74</v>
      </c>
      <c r="F15">
        <v>5</v>
      </c>
      <c r="G15">
        <v>370</v>
      </c>
      <c r="H15" t="s">
        <v>13</v>
      </c>
      <c r="I15" t="s">
        <v>14</v>
      </c>
      <c r="J15" t="s">
        <v>27</v>
      </c>
      <c r="K15" s="15">
        <v>44981</v>
      </c>
      <c r="M15" s="15">
        <v>44982</v>
      </c>
      <c r="N15" t="s">
        <v>326</v>
      </c>
      <c r="O15" t="s">
        <v>200</v>
      </c>
      <c r="P15" t="s">
        <v>325</v>
      </c>
      <c r="Q15" t="s">
        <v>299</v>
      </c>
      <c r="R15" t="s">
        <v>325</v>
      </c>
      <c r="S15" t="s">
        <v>236</v>
      </c>
    </row>
    <row r="16" spans="1:19" x14ac:dyDescent="0.25">
      <c r="A16" t="s">
        <v>80</v>
      </c>
      <c r="B16" t="s">
        <v>79</v>
      </c>
      <c r="C16" t="s">
        <v>40</v>
      </c>
      <c r="D16" t="s">
        <v>21</v>
      </c>
      <c r="E16">
        <v>27</v>
      </c>
      <c r="F16">
        <v>1</v>
      </c>
      <c r="G16">
        <v>27</v>
      </c>
      <c r="H16" t="s">
        <v>18</v>
      </c>
      <c r="I16" t="s">
        <v>14</v>
      </c>
      <c r="J16" t="s">
        <v>27</v>
      </c>
      <c r="K16" s="15">
        <v>45164</v>
      </c>
      <c r="M16" s="15">
        <v>45171</v>
      </c>
      <c r="N16" t="s">
        <v>326</v>
      </c>
      <c r="O16" t="s">
        <v>211</v>
      </c>
      <c r="P16" t="s">
        <v>325</v>
      </c>
      <c r="Q16" t="s">
        <v>299</v>
      </c>
      <c r="R16" t="s">
        <v>325</v>
      </c>
      <c r="S16" t="s">
        <v>210</v>
      </c>
    </row>
    <row r="17" spans="1:19" x14ac:dyDescent="0.25">
      <c r="A17" t="s">
        <v>81</v>
      </c>
      <c r="B17" t="s">
        <v>82</v>
      </c>
      <c r="C17" t="s">
        <v>40</v>
      </c>
      <c r="D17" t="s">
        <v>21</v>
      </c>
      <c r="E17">
        <v>27</v>
      </c>
      <c r="F17">
        <v>3</v>
      </c>
      <c r="G17">
        <v>81</v>
      </c>
      <c r="H17" t="s">
        <v>31</v>
      </c>
      <c r="I17" t="s">
        <v>22</v>
      </c>
      <c r="J17" t="s">
        <v>27</v>
      </c>
      <c r="K17" s="15">
        <v>44970</v>
      </c>
      <c r="N17" t="s">
        <v>330</v>
      </c>
      <c r="O17" t="s">
        <v>211</v>
      </c>
      <c r="P17" t="s">
        <v>325</v>
      </c>
      <c r="Q17" t="s">
        <v>293</v>
      </c>
      <c r="R17" t="s">
        <v>325</v>
      </c>
      <c r="S17" t="s">
        <v>210</v>
      </c>
    </row>
    <row r="18" spans="1:19" x14ac:dyDescent="0.25">
      <c r="A18" t="s">
        <v>83</v>
      </c>
      <c r="B18" t="s">
        <v>75</v>
      </c>
      <c r="C18" t="s">
        <v>41</v>
      </c>
      <c r="D18" t="s">
        <v>17</v>
      </c>
      <c r="E18">
        <v>21</v>
      </c>
      <c r="F18">
        <v>3</v>
      </c>
      <c r="G18">
        <v>63</v>
      </c>
      <c r="H18" t="s">
        <v>18</v>
      </c>
      <c r="I18" t="s">
        <v>19</v>
      </c>
      <c r="J18" t="s">
        <v>15</v>
      </c>
      <c r="K18" s="15">
        <v>45105</v>
      </c>
      <c r="L18" s="15">
        <v>45108</v>
      </c>
      <c r="N18" t="s">
        <v>330</v>
      </c>
      <c r="O18" t="s">
        <v>218</v>
      </c>
      <c r="P18">
        <v>3</v>
      </c>
      <c r="Q18" t="s">
        <v>257</v>
      </c>
      <c r="R18" t="s">
        <v>332</v>
      </c>
      <c r="S18" t="s">
        <v>232</v>
      </c>
    </row>
    <row r="19" spans="1:19" x14ac:dyDescent="0.25">
      <c r="A19" t="s">
        <v>84</v>
      </c>
      <c r="B19" t="s">
        <v>85</v>
      </c>
      <c r="C19" t="s">
        <v>42</v>
      </c>
      <c r="D19" t="s">
        <v>33</v>
      </c>
      <c r="E19">
        <v>70</v>
      </c>
      <c r="F19">
        <v>5</v>
      </c>
      <c r="G19">
        <v>350</v>
      </c>
      <c r="H19" t="s">
        <v>24</v>
      </c>
      <c r="I19" t="s">
        <v>22</v>
      </c>
      <c r="J19" t="s">
        <v>27</v>
      </c>
      <c r="K19" s="15">
        <v>45258</v>
      </c>
      <c r="N19" t="s">
        <v>330</v>
      </c>
      <c r="O19" t="s">
        <v>218</v>
      </c>
      <c r="P19" t="s">
        <v>325</v>
      </c>
      <c r="Q19" t="s">
        <v>278</v>
      </c>
      <c r="R19" t="s">
        <v>325</v>
      </c>
      <c r="S19" t="s">
        <v>217</v>
      </c>
    </row>
    <row r="20" spans="1:19" x14ac:dyDescent="0.25">
      <c r="A20" t="s">
        <v>86</v>
      </c>
      <c r="B20" t="s">
        <v>87</v>
      </c>
      <c r="C20" t="s">
        <v>38</v>
      </c>
      <c r="D20" t="s">
        <v>21</v>
      </c>
      <c r="E20">
        <v>94</v>
      </c>
      <c r="F20">
        <v>4</v>
      </c>
      <c r="G20">
        <v>376</v>
      </c>
      <c r="H20" t="s">
        <v>18</v>
      </c>
      <c r="I20" t="s">
        <v>22</v>
      </c>
      <c r="J20" t="s">
        <v>23</v>
      </c>
      <c r="K20" s="15">
        <v>45163</v>
      </c>
      <c r="N20" t="s">
        <v>330</v>
      </c>
      <c r="O20" t="s">
        <v>211</v>
      </c>
      <c r="P20" t="s">
        <v>325</v>
      </c>
      <c r="Q20" t="s">
        <v>306</v>
      </c>
      <c r="R20" t="s">
        <v>325</v>
      </c>
      <c r="S20" t="s">
        <v>213</v>
      </c>
    </row>
    <row r="21" spans="1:19" x14ac:dyDescent="0.25">
      <c r="A21" t="s">
        <v>88</v>
      </c>
      <c r="B21" t="s">
        <v>89</v>
      </c>
      <c r="C21" t="s">
        <v>43</v>
      </c>
      <c r="D21" t="s">
        <v>12</v>
      </c>
      <c r="E21">
        <v>813</v>
      </c>
      <c r="F21">
        <v>2</v>
      </c>
      <c r="G21">
        <v>1626</v>
      </c>
      <c r="H21" t="s">
        <v>18</v>
      </c>
      <c r="I21" t="s">
        <v>22</v>
      </c>
      <c r="J21" t="s">
        <v>37</v>
      </c>
      <c r="K21" s="15">
        <v>45028</v>
      </c>
      <c r="N21" t="s">
        <v>330</v>
      </c>
      <c r="O21" t="s">
        <v>200</v>
      </c>
      <c r="P21" t="s">
        <v>325</v>
      </c>
      <c r="Q21" t="s">
        <v>287</v>
      </c>
      <c r="R21" t="s">
        <v>325</v>
      </c>
      <c r="S21" t="s">
        <v>199</v>
      </c>
    </row>
    <row r="22" spans="1:19" x14ac:dyDescent="0.25">
      <c r="A22" t="s">
        <v>90</v>
      </c>
      <c r="B22" t="s">
        <v>70</v>
      </c>
      <c r="C22" t="s">
        <v>41</v>
      </c>
      <c r="D22" t="s">
        <v>30</v>
      </c>
      <c r="E22">
        <v>21</v>
      </c>
      <c r="F22">
        <v>4</v>
      </c>
      <c r="G22">
        <v>84</v>
      </c>
      <c r="H22" t="s">
        <v>24</v>
      </c>
      <c r="I22" t="s">
        <v>22</v>
      </c>
      <c r="J22" t="s">
        <v>27</v>
      </c>
      <c r="K22" s="15">
        <v>45201</v>
      </c>
      <c r="N22" t="s">
        <v>330</v>
      </c>
      <c r="O22" t="s">
        <v>218</v>
      </c>
      <c r="P22" t="s">
        <v>325</v>
      </c>
      <c r="Q22" t="s">
        <v>268</v>
      </c>
      <c r="R22" t="s">
        <v>325</v>
      </c>
      <c r="S22" t="s">
        <v>232</v>
      </c>
    </row>
    <row r="23" spans="1:19" x14ac:dyDescent="0.25">
      <c r="A23" t="s">
        <v>91</v>
      </c>
      <c r="B23" t="s">
        <v>77</v>
      </c>
      <c r="C23" t="s">
        <v>11</v>
      </c>
      <c r="D23" t="s">
        <v>33</v>
      </c>
      <c r="E23">
        <v>46</v>
      </c>
      <c r="F23">
        <v>5</v>
      </c>
      <c r="G23">
        <v>230</v>
      </c>
      <c r="H23" t="s">
        <v>24</v>
      </c>
      <c r="I23" t="s">
        <v>22</v>
      </c>
      <c r="J23" t="s">
        <v>23</v>
      </c>
      <c r="K23" s="15">
        <v>45239</v>
      </c>
      <c r="N23" t="s">
        <v>330</v>
      </c>
      <c r="O23" t="s">
        <v>206</v>
      </c>
      <c r="P23" t="s">
        <v>325</v>
      </c>
      <c r="Q23" t="s">
        <v>292</v>
      </c>
      <c r="R23" t="s">
        <v>325</v>
      </c>
      <c r="S23" t="s">
        <v>226</v>
      </c>
    </row>
    <row r="24" spans="1:19" x14ac:dyDescent="0.25">
      <c r="A24" t="s">
        <v>92</v>
      </c>
      <c r="B24" t="s">
        <v>93</v>
      </c>
      <c r="C24" t="s">
        <v>26</v>
      </c>
      <c r="D24" t="s">
        <v>33</v>
      </c>
      <c r="E24">
        <v>58</v>
      </c>
      <c r="F24">
        <v>3</v>
      </c>
      <c r="G24">
        <v>174</v>
      </c>
      <c r="H24" t="s">
        <v>28</v>
      </c>
      <c r="I24" t="s">
        <v>14</v>
      </c>
      <c r="J24" t="s">
        <v>27</v>
      </c>
      <c r="K24" s="15">
        <v>44970</v>
      </c>
      <c r="M24" s="15">
        <v>44971</v>
      </c>
      <c r="N24" t="s">
        <v>326</v>
      </c>
      <c r="O24" t="s">
        <v>211</v>
      </c>
      <c r="P24" t="s">
        <v>325</v>
      </c>
      <c r="Q24" t="s">
        <v>286</v>
      </c>
      <c r="R24" t="s">
        <v>325</v>
      </c>
      <c r="S24" t="s">
        <v>222</v>
      </c>
    </row>
    <row r="25" spans="1:19" x14ac:dyDescent="0.25">
      <c r="A25" t="s">
        <v>94</v>
      </c>
      <c r="B25" t="s">
        <v>95</v>
      </c>
      <c r="C25" t="s">
        <v>38</v>
      </c>
      <c r="D25" t="s">
        <v>33</v>
      </c>
      <c r="E25">
        <v>96</v>
      </c>
      <c r="F25">
        <v>5</v>
      </c>
      <c r="G25">
        <v>480</v>
      </c>
      <c r="H25" t="s">
        <v>28</v>
      </c>
      <c r="I25" t="s">
        <v>19</v>
      </c>
      <c r="J25" t="s">
        <v>27</v>
      </c>
      <c r="K25" s="15">
        <v>45232</v>
      </c>
      <c r="L25" s="15">
        <v>45235</v>
      </c>
      <c r="N25" t="s">
        <v>330</v>
      </c>
      <c r="O25" t="s">
        <v>211</v>
      </c>
      <c r="P25">
        <v>3</v>
      </c>
      <c r="Q25" t="s">
        <v>295</v>
      </c>
      <c r="R25" t="s">
        <v>332</v>
      </c>
      <c r="S25" t="s">
        <v>213</v>
      </c>
    </row>
    <row r="26" spans="1:19" x14ac:dyDescent="0.25">
      <c r="A26" t="s">
        <v>96</v>
      </c>
      <c r="B26" t="s">
        <v>97</v>
      </c>
      <c r="C26" t="s">
        <v>44</v>
      </c>
      <c r="D26" t="s">
        <v>21</v>
      </c>
      <c r="E26">
        <v>43</v>
      </c>
      <c r="F26">
        <v>1</v>
      </c>
      <c r="G26">
        <v>43</v>
      </c>
      <c r="H26" t="s">
        <v>31</v>
      </c>
      <c r="I26" t="s">
        <v>19</v>
      </c>
      <c r="J26" t="s">
        <v>27</v>
      </c>
      <c r="K26" s="15">
        <v>45074</v>
      </c>
      <c r="L26" s="15">
        <v>45076</v>
      </c>
      <c r="N26" t="s">
        <v>330</v>
      </c>
      <c r="O26" t="s">
        <v>203</v>
      </c>
      <c r="P26">
        <v>2</v>
      </c>
      <c r="Q26" t="s">
        <v>305</v>
      </c>
      <c r="R26" t="s">
        <v>331</v>
      </c>
      <c r="S26" t="s">
        <v>202</v>
      </c>
    </row>
    <row r="27" spans="1:19" x14ac:dyDescent="0.25">
      <c r="A27" t="s">
        <v>98</v>
      </c>
      <c r="B27" t="s">
        <v>62</v>
      </c>
      <c r="C27" t="s">
        <v>45</v>
      </c>
      <c r="D27" t="s">
        <v>21</v>
      </c>
      <c r="E27">
        <v>64</v>
      </c>
      <c r="F27">
        <v>4</v>
      </c>
      <c r="G27">
        <v>256</v>
      </c>
      <c r="H27" t="s">
        <v>31</v>
      </c>
      <c r="I27" t="s">
        <v>19</v>
      </c>
      <c r="J27" t="s">
        <v>23</v>
      </c>
      <c r="K27" s="15">
        <v>45214</v>
      </c>
      <c r="L27" s="15">
        <v>45220</v>
      </c>
      <c r="N27" t="s">
        <v>330</v>
      </c>
      <c r="O27" t="s">
        <v>211</v>
      </c>
      <c r="P27">
        <v>6</v>
      </c>
      <c r="Q27" t="s">
        <v>294</v>
      </c>
      <c r="R27" t="s">
        <v>332</v>
      </c>
      <c r="S27" t="s">
        <v>246</v>
      </c>
    </row>
    <row r="28" spans="1:19" x14ac:dyDescent="0.25">
      <c r="A28" t="s">
        <v>99</v>
      </c>
      <c r="B28" t="s">
        <v>100</v>
      </c>
      <c r="C28" t="s">
        <v>42</v>
      </c>
      <c r="D28" t="s">
        <v>21</v>
      </c>
      <c r="E28">
        <v>70</v>
      </c>
      <c r="F28">
        <v>2</v>
      </c>
      <c r="G28">
        <v>140</v>
      </c>
      <c r="H28" t="s">
        <v>28</v>
      </c>
      <c r="I28" t="s">
        <v>22</v>
      </c>
      <c r="J28" t="s">
        <v>27</v>
      </c>
      <c r="K28" s="15">
        <v>44942</v>
      </c>
      <c r="N28" t="s">
        <v>330</v>
      </c>
      <c r="O28" t="s">
        <v>218</v>
      </c>
      <c r="P28" t="s">
        <v>325</v>
      </c>
      <c r="Q28" t="s">
        <v>288</v>
      </c>
      <c r="R28" t="s">
        <v>325</v>
      </c>
      <c r="S28" t="s">
        <v>217</v>
      </c>
    </row>
    <row r="29" spans="1:19" x14ac:dyDescent="0.25">
      <c r="A29" t="s">
        <v>101</v>
      </c>
      <c r="B29" t="s">
        <v>100</v>
      </c>
      <c r="C29" t="s">
        <v>16</v>
      </c>
      <c r="D29" t="s">
        <v>30</v>
      </c>
      <c r="E29">
        <v>97</v>
      </c>
      <c r="F29">
        <v>3</v>
      </c>
      <c r="G29">
        <v>291</v>
      </c>
      <c r="H29" t="s">
        <v>18</v>
      </c>
      <c r="I29" t="s">
        <v>22</v>
      </c>
      <c r="J29" t="s">
        <v>27</v>
      </c>
      <c r="K29" s="15">
        <v>45208</v>
      </c>
      <c r="N29" t="s">
        <v>330</v>
      </c>
      <c r="O29" t="s">
        <v>203</v>
      </c>
      <c r="P29" t="s">
        <v>325</v>
      </c>
      <c r="Q29" t="s">
        <v>288</v>
      </c>
      <c r="R29" t="s">
        <v>325</v>
      </c>
      <c r="S29" t="s">
        <v>238</v>
      </c>
    </row>
    <row r="30" spans="1:19" x14ac:dyDescent="0.25">
      <c r="A30" t="s">
        <v>102</v>
      </c>
      <c r="B30" t="s">
        <v>103</v>
      </c>
      <c r="C30" t="s">
        <v>32</v>
      </c>
      <c r="D30" t="s">
        <v>17</v>
      </c>
      <c r="E30">
        <v>37</v>
      </c>
      <c r="F30">
        <v>3</v>
      </c>
      <c r="G30">
        <v>111</v>
      </c>
      <c r="H30" t="s">
        <v>13</v>
      </c>
      <c r="I30" t="s">
        <v>14</v>
      </c>
      <c r="J30" t="s">
        <v>15</v>
      </c>
      <c r="K30" s="15">
        <v>45206</v>
      </c>
      <c r="M30" s="15">
        <v>45209</v>
      </c>
      <c r="N30" t="s">
        <v>326</v>
      </c>
      <c r="O30" t="s">
        <v>206</v>
      </c>
      <c r="P30" t="s">
        <v>325</v>
      </c>
      <c r="Q30" t="s">
        <v>272</v>
      </c>
      <c r="R30" t="s">
        <v>325</v>
      </c>
      <c r="S30" t="s">
        <v>244</v>
      </c>
    </row>
    <row r="31" spans="1:19" x14ac:dyDescent="0.25">
      <c r="A31" t="s">
        <v>104</v>
      </c>
      <c r="B31" t="s">
        <v>105</v>
      </c>
      <c r="C31" t="s">
        <v>42</v>
      </c>
      <c r="D31" t="s">
        <v>12</v>
      </c>
      <c r="E31">
        <v>69</v>
      </c>
      <c r="F31">
        <v>5</v>
      </c>
      <c r="G31">
        <v>345</v>
      </c>
      <c r="H31" t="s">
        <v>28</v>
      </c>
      <c r="I31" t="s">
        <v>22</v>
      </c>
      <c r="J31" t="s">
        <v>27</v>
      </c>
      <c r="K31" s="15">
        <v>44971</v>
      </c>
      <c r="N31" t="s">
        <v>330</v>
      </c>
      <c r="O31" t="s">
        <v>218</v>
      </c>
      <c r="P31" t="s">
        <v>325</v>
      </c>
      <c r="Q31" t="s">
        <v>273</v>
      </c>
      <c r="R31" t="s">
        <v>325</v>
      </c>
      <c r="S31" t="s">
        <v>217</v>
      </c>
    </row>
    <row r="32" spans="1:19" x14ac:dyDescent="0.25">
      <c r="A32" t="s">
        <v>106</v>
      </c>
      <c r="B32" t="s">
        <v>107</v>
      </c>
      <c r="C32" t="s">
        <v>44</v>
      </c>
      <c r="D32" t="s">
        <v>12</v>
      </c>
      <c r="E32">
        <v>42</v>
      </c>
      <c r="F32">
        <v>5</v>
      </c>
      <c r="G32">
        <v>210</v>
      </c>
      <c r="H32" t="s">
        <v>28</v>
      </c>
      <c r="I32" t="s">
        <v>22</v>
      </c>
      <c r="J32" t="s">
        <v>25</v>
      </c>
      <c r="K32" s="15">
        <v>45011</v>
      </c>
      <c r="N32" t="s">
        <v>330</v>
      </c>
      <c r="O32" t="s">
        <v>203</v>
      </c>
      <c r="P32" t="s">
        <v>325</v>
      </c>
      <c r="Q32" t="s">
        <v>273</v>
      </c>
      <c r="R32" t="s">
        <v>325</v>
      </c>
      <c r="S32" t="s">
        <v>202</v>
      </c>
    </row>
    <row r="33" spans="1:19" x14ac:dyDescent="0.25">
      <c r="A33" t="s">
        <v>108</v>
      </c>
      <c r="B33" t="s">
        <v>109</v>
      </c>
      <c r="C33" t="s">
        <v>46</v>
      </c>
      <c r="D33" t="s">
        <v>17</v>
      </c>
      <c r="E33">
        <v>11</v>
      </c>
      <c r="F33">
        <v>5</v>
      </c>
      <c r="G33">
        <v>55</v>
      </c>
      <c r="H33" t="s">
        <v>31</v>
      </c>
      <c r="I33" t="s">
        <v>14</v>
      </c>
      <c r="J33" t="s">
        <v>37</v>
      </c>
      <c r="K33" s="15">
        <v>45092</v>
      </c>
      <c r="M33" s="15">
        <v>45099</v>
      </c>
      <c r="N33" t="s">
        <v>326</v>
      </c>
      <c r="O33" t="s">
        <v>218</v>
      </c>
      <c r="P33" t="s">
        <v>325</v>
      </c>
      <c r="Q33" t="s">
        <v>257</v>
      </c>
      <c r="R33" t="s">
        <v>325</v>
      </c>
      <c r="S33" t="s">
        <v>220</v>
      </c>
    </row>
    <row r="34" spans="1:19" x14ac:dyDescent="0.25">
      <c r="A34" t="s">
        <v>110</v>
      </c>
      <c r="B34" t="s">
        <v>93</v>
      </c>
      <c r="C34" t="s">
        <v>40</v>
      </c>
      <c r="D34" t="s">
        <v>21</v>
      </c>
      <c r="E34">
        <v>27</v>
      </c>
      <c r="F34">
        <v>2</v>
      </c>
      <c r="G34">
        <v>54</v>
      </c>
      <c r="H34" t="s">
        <v>13</v>
      </c>
      <c r="I34" t="s">
        <v>19</v>
      </c>
      <c r="J34" t="s">
        <v>23</v>
      </c>
      <c r="K34" s="15">
        <v>45068</v>
      </c>
      <c r="L34" s="15">
        <v>45069</v>
      </c>
      <c r="N34" t="s">
        <v>330</v>
      </c>
      <c r="O34" t="s">
        <v>211</v>
      </c>
      <c r="P34">
        <v>1</v>
      </c>
      <c r="Q34" t="s">
        <v>286</v>
      </c>
      <c r="R34" t="s">
        <v>331</v>
      </c>
      <c r="S34" t="s">
        <v>210</v>
      </c>
    </row>
    <row r="35" spans="1:19" x14ac:dyDescent="0.25">
      <c r="A35" t="s">
        <v>111</v>
      </c>
      <c r="B35" t="s">
        <v>89</v>
      </c>
      <c r="C35" t="s">
        <v>41</v>
      </c>
      <c r="D35" t="s">
        <v>21</v>
      </c>
      <c r="E35">
        <v>21</v>
      </c>
      <c r="F35">
        <v>1</v>
      </c>
      <c r="G35">
        <v>21</v>
      </c>
      <c r="H35" t="s">
        <v>28</v>
      </c>
      <c r="I35" t="s">
        <v>22</v>
      </c>
      <c r="J35" t="s">
        <v>15</v>
      </c>
      <c r="K35" s="15">
        <v>45250</v>
      </c>
      <c r="N35" t="s">
        <v>330</v>
      </c>
      <c r="O35" t="s">
        <v>218</v>
      </c>
      <c r="P35" t="s">
        <v>325</v>
      </c>
      <c r="Q35" t="s">
        <v>287</v>
      </c>
      <c r="R35" t="s">
        <v>325</v>
      </c>
      <c r="S35" t="s">
        <v>232</v>
      </c>
    </row>
    <row r="36" spans="1:19" x14ac:dyDescent="0.25">
      <c r="A36" t="s">
        <v>112</v>
      </c>
      <c r="B36" t="s">
        <v>113</v>
      </c>
      <c r="C36" t="s">
        <v>47</v>
      </c>
      <c r="D36" t="s">
        <v>21</v>
      </c>
      <c r="E36">
        <v>172</v>
      </c>
      <c r="F36">
        <v>1</v>
      </c>
      <c r="G36">
        <v>172</v>
      </c>
      <c r="H36" t="s">
        <v>24</v>
      </c>
      <c r="I36" t="s">
        <v>19</v>
      </c>
      <c r="J36" t="s">
        <v>23</v>
      </c>
      <c r="K36" s="15">
        <v>45282</v>
      </c>
      <c r="L36" s="15">
        <v>45286</v>
      </c>
      <c r="N36" t="s">
        <v>330</v>
      </c>
      <c r="O36" t="s">
        <v>200</v>
      </c>
      <c r="P36">
        <v>4</v>
      </c>
      <c r="Q36" t="s">
        <v>298</v>
      </c>
      <c r="R36" t="s">
        <v>332</v>
      </c>
      <c r="S36" t="s">
        <v>224</v>
      </c>
    </row>
    <row r="37" spans="1:19" x14ac:dyDescent="0.25">
      <c r="A37" t="s">
        <v>114</v>
      </c>
      <c r="B37" t="s">
        <v>107</v>
      </c>
      <c r="C37" t="s">
        <v>48</v>
      </c>
      <c r="D37" t="s">
        <v>12</v>
      </c>
      <c r="E37">
        <v>212</v>
      </c>
      <c r="F37">
        <v>3</v>
      </c>
      <c r="G37">
        <v>636</v>
      </c>
      <c r="H37" t="s">
        <v>28</v>
      </c>
      <c r="I37" t="s">
        <v>22</v>
      </c>
      <c r="J37" t="s">
        <v>25</v>
      </c>
      <c r="K37" s="15">
        <v>45130</v>
      </c>
      <c r="N37" t="s">
        <v>330</v>
      </c>
      <c r="O37" t="s">
        <v>206</v>
      </c>
      <c r="P37" t="s">
        <v>325</v>
      </c>
      <c r="Q37" t="s">
        <v>273</v>
      </c>
      <c r="R37" t="s">
        <v>325</v>
      </c>
      <c r="S37" t="s">
        <v>234</v>
      </c>
    </row>
    <row r="38" spans="1:19" x14ac:dyDescent="0.25">
      <c r="A38" t="s">
        <v>115</v>
      </c>
      <c r="B38" t="s">
        <v>60</v>
      </c>
      <c r="C38" t="s">
        <v>44</v>
      </c>
      <c r="D38" t="s">
        <v>17</v>
      </c>
      <c r="E38">
        <v>41</v>
      </c>
      <c r="F38">
        <v>4</v>
      </c>
      <c r="G38">
        <v>164</v>
      </c>
      <c r="H38" t="s">
        <v>18</v>
      </c>
      <c r="I38" t="s">
        <v>19</v>
      </c>
      <c r="J38" t="s">
        <v>27</v>
      </c>
      <c r="K38" s="15">
        <v>45216</v>
      </c>
      <c r="L38" s="15">
        <v>45221</v>
      </c>
      <c r="N38" t="s">
        <v>330</v>
      </c>
      <c r="O38" t="s">
        <v>203</v>
      </c>
      <c r="P38">
        <v>5</v>
      </c>
      <c r="Q38" t="s">
        <v>308</v>
      </c>
      <c r="R38" t="s">
        <v>332</v>
      </c>
      <c r="S38" t="s">
        <v>202</v>
      </c>
    </row>
    <row r="39" spans="1:19" x14ac:dyDescent="0.25">
      <c r="A39" t="s">
        <v>116</v>
      </c>
      <c r="B39" t="s">
        <v>95</v>
      </c>
      <c r="C39" t="s">
        <v>49</v>
      </c>
      <c r="D39" t="s">
        <v>12</v>
      </c>
      <c r="E39">
        <v>32</v>
      </c>
      <c r="F39">
        <v>2</v>
      </c>
      <c r="G39">
        <v>64</v>
      </c>
      <c r="H39" t="s">
        <v>31</v>
      </c>
      <c r="I39" t="s">
        <v>14</v>
      </c>
      <c r="J39" t="s">
        <v>37</v>
      </c>
      <c r="K39" s="15">
        <v>45160</v>
      </c>
      <c r="M39" s="15">
        <v>45162</v>
      </c>
      <c r="N39" t="s">
        <v>326</v>
      </c>
      <c r="O39" t="s">
        <v>203</v>
      </c>
      <c r="P39" t="s">
        <v>325</v>
      </c>
      <c r="Q39" t="s">
        <v>295</v>
      </c>
      <c r="R39" t="s">
        <v>325</v>
      </c>
      <c r="S39" t="s">
        <v>215</v>
      </c>
    </row>
    <row r="40" spans="1:19" x14ac:dyDescent="0.25">
      <c r="A40" t="s">
        <v>117</v>
      </c>
      <c r="B40" t="s">
        <v>118</v>
      </c>
      <c r="C40" t="s">
        <v>45</v>
      </c>
      <c r="D40" t="s">
        <v>17</v>
      </c>
      <c r="E40">
        <v>66</v>
      </c>
      <c r="F40">
        <v>2</v>
      </c>
      <c r="G40">
        <v>132</v>
      </c>
      <c r="H40" t="s">
        <v>13</v>
      </c>
      <c r="I40" t="s">
        <v>22</v>
      </c>
      <c r="J40" t="s">
        <v>15</v>
      </c>
      <c r="K40" s="15">
        <v>45262</v>
      </c>
      <c r="N40" t="s">
        <v>330</v>
      </c>
      <c r="O40" t="s">
        <v>211</v>
      </c>
      <c r="P40" t="s">
        <v>325</v>
      </c>
      <c r="Q40" t="s">
        <v>293</v>
      </c>
      <c r="R40" t="s">
        <v>325</v>
      </c>
      <c r="S40" t="s">
        <v>246</v>
      </c>
    </row>
    <row r="41" spans="1:19" x14ac:dyDescent="0.25">
      <c r="A41" t="s">
        <v>119</v>
      </c>
      <c r="B41" t="s">
        <v>120</v>
      </c>
      <c r="C41" t="s">
        <v>50</v>
      </c>
      <c r="D41" t="s">
        <v>17</v>
      </c>
      <c r="E41">
        <v>62</v>
      </c>
      <c r="F41">
        <v>4</v>
      </c>
      <c r="G41">
        <v>248</v>
      </c>
      <c r="H41" t="s">
        <v>31</v>
      </c>
      <c r="I41" t="s">
        <v>22</v>
      </c>
      <c r="J41" t="s">
        <v>25</v>
      </c>
      <c r="K41" s="15">
        <v>45285</v>
      </c>
      <c r="N41" t="s">
        <v>330</v>
      </c>
      <c r="O41" t="s">
        <v>203</v>
      </c>
      <c r="P41" t="s">
        <v>325</v>
      </c>
      <c r="Q41" t="s">
        <v>269</v>
      </c>
      <c r="R41" t="s">
        <v>325</v>
      </c>
      <c r="S41" t="s">
        <v>208</v>
      </c>
    </row>
    <row r="42" spans="1:19" x14ac:dyDescent="0.25">
      <c r="A42" t="s">
        <v>121</v>
      </c>
      <c r="B42" t="s">
        <v>122</v>
      </c>
      <c r="C42" t="s">
        <v>47</v>
      </c>
      <c r="D42" t="s">
        <v>33</v>
      </c>
      <c r="E42">
        <v>173</v>
      </c>
      <c r="F42">
        <v>4</v>
      </c>
      <c r="G42">
        <v>692</v>
      </c>
      <c r="H42" t="s">
        <v>13</v>
      </c>
      <c r="I42" t="s">
        <v>19</v>
      </c>
      <c r="J42" t="s">
        <v>25</v>
      </c>
      <c r="K42" s="15">
        <v>45192</v>
      </c>
      <c r="L42" s="15">
        <v>45199</v>
      </c>
      <c r="N42" t="s">
        <v>330</v>
      </c>
      <c r="O42" t="s">
        <v>200</v>
      </c>
      <c r="P42">
        <v>7</v>
      </c>
      <c r="Q42" t="s">
        <v>253</v>
      </c>
      <c r="R42" t="s">
        <v>332</v>
      </c>
      <c r="S42" t="s">
        <v>224</v>
      </c>
    </row>
    <row r="43" spans="1:19" x14ac:dyDescent="0.25">
      <c r="A43" t="s">
        <v>123</v>
      </c>
      <c r="B43" t="s">
        <v>103</v>
      </c>
      <c r="C43" t="s">
        <v>50</v>
      </c>
      <c r="D43" t="s">
        <v>33</v>
      </c>
      <c r="E43">
        <v>63</v>
      </c>
      <c r="F43">
        <v>3</v>
      </c>
      <c r="G43">
        <v>189</v>
      </c>
      <c r="H43" t="s">
        <v>13</v>
      </c>
      <c r="I43" t="s">
        <v>19</v>
      </c>
      <c r="J43" t="s">
        <v>25</v>
      </c>
      <c r="K43" s="15">
        <v>45123</v>
      </c>
      <c r="L43" s="15">
        <v>45125</v>
      </c>
      <c r="N43" t="s">
        <v>330</v>
      </c>
      <c r="O43" t="s">
        <v>203</v>
      </c>
      <c r="P43">
        <v>2</v>
      </c>
      <c r="Q43" t="s">
        <v>272</v>
      </c>
      <c r="R43" t="s">
        <v>331</v>
      </c>
      <c r="S43" t="s">
        <v>208</v>
      </c>
    </row>
    <row r="44" spans="1:19" x14ac:dyDescent="0.25">
      <c r="A44" t="s">
        <v>124</v>
      </c>
      <c r="B44" t="s">
        <v>97</v>
      </c>
      <c r="C44" t="s">
        <v>32</v>
      </c>
      <c r="D44" t="s">
        <v>33</v>
      </c>
      <c r="E44">
        <v>36</v>
      </c>
      <c r="F44">
        <v>3</v>
      </c>
      <c r="G44">
        <v>108</v>
      </c>
      <c r="H44" t="s">
        <v>31</v>
      </c>
      <c r="I44" t="s">
        <v>14</v>
      </c>
      <c r="J44" t="s">
        <v>23</v>
      </c>
      <c r="K44" s="15">
        <v>44962</v>
      </c>
      <c r="M44" s="15">
        <v>44968</v>
      </c>
      <c r="N44" t="s">
        <v>326</v>
      </c>
      <c r="O44" t="s">
        <v>206</v>
      </c>
      <c r="P44" t="s">
        <v>325</v>
      </c>
      <c r="Q44" t="s">
        <v>305</v>
      </c>
      <c r="R44" t="s">
        <v>325</v>
      </c>
      <c r="S44" t="s">
        <v>244</v>
      </c>
    </row>
    <row r="45" spans="1:19" x14ac:dyDescent="0.25">
      <c r="A45" t="s">
        <v>125</v>
      </c>
      <c r="B45" t="s">
        <v>120</v>
      </c>
      <c r="C45" t="s">
        <v>50</v>
      </c>
      <c r="D45" t="s">
        <v>30</v>
      </c>
      <c r="E45">
        <v>62</v>
      </c>
      <c r="F45">
        <v>1</v>
      </c>
      <c r="G45">
        <v>62</v>
      </c>
      <c r="H45" t="s">
        <v>13</v>
      </c>
      <c r="I45" t="s">
        <v>14</v>
      </c>
      <c r="J45" t="s">
        <v>27</v>
      </c>
      <c r="K45" s="15">
        <v>45278</v>
      </c>
      <c r="M45" s="15">
        <v>45283</v>
      </c>
      <c r="N45" t="s">
        <v>326</v>
      </c>
      <c r="O45" t="s">
        <v>203</v>
      </c>
      <c r="P45" t="s">
        <v>325</v>
      </c>
      <c r="Q45" t="s">
        <v>269</v>
      </c>
      <c r="R45" t="s">
        <v>325</v>
      </c>
      <c r="S45" t="s">
        <v>208</v>
      </c>
    </row>
    <row r="46" spans="1:19" x14ac:dyDescent="0.25">
      <c r="A46" t="s">
        <v>126</v>
      </c>
      <c r="B46" t="s">
        <v>66</v>
      </c>
      <c r="C46" t="s">
        <v>35</v>
      </c>
      <c r="D46" t="s">
        <v>30</v>
      </c>
      <c r="E46">
        <v>137</v>
      </c>
      <c r="F46">
        <v>5</v>
      </c>
      <c r="G46">
        <v>685</v>
      </c>
      <c r="H46" t="s">
        <v>28</v>
      </c>
      <c r="I46" t="s">
        <v>14</v>
      </c>
      <c r="J46" t="s">
        <v>37</v>
      </c>
      <c r="K46" s="15">
        <v>45088</v>
      </c>
      <c r="M46" s="15">
        <v>45091</v>
      </c>
      <c r="N46" t="s">
        <v>326</v>
      </c>
      <c r="O46" t="s">
        <v>206</v>
      </c>
      <c r="P46" t="s">
        <v>325</v>
      </c>
      <c r="Q46" t="s">
        <v>264</v>
      </c>
      <c r="R46" t="s">
        <v>325</v>
      </c>
      <c r="S46" t="s">
        <v>205</v>
      </c>
    </row>
    <row r="47" spans="1:19" x14ac:dyDescent="0.25">
      <c r="A47" t="s">
        <v>127</v>
      </c>
      <c r="B47" t="s">
        <v>128</v>
      </c>
      <c r="C47" t="s">
        <v>39</v>
      </c>
      <c r="D47" t="s">
        <v>12</v>
      </c>
      <c r="E47">
        <v>73</v>
      </c>
      <c r="F47">
        <v>4</v>
      </c>
      <c r="G47">
        <v>292</v>
      </c>
      <c r="H47" t="s">
        <v>18</v>
      </c>
      <c r="I47" t="s">
        <v>19</v>
      </c>
      <c r="J47" t="s">
        <v>27</v>
      </c>
      <c r="K47" s="15">
        <v>45264</v>
      </c>
      <c r="L47" s="15">
        <v>45268</v>
      </c>
      <c r="N47" t="s">
        <v>330</v>
      </c>
      <c r="O47" t="s">
        <v>200</v>
      </c>
      <c r="P47">
        <v>4</v>
      </c>
      <c r="Q47" t="s">
        <v>304</v>
      </c>
      <c r="R47" t="s">
        <v>332</v>
      </c>
      <c r="S47" t="s">
        <v>236</v>
      </c>
    </row>
    <row r="48" spans="1:19" x14ac:dyDescent="0.25">
      <c r="A48" t="s">
        <v>129</v>
      </c>
      <c r="B48" t="s">
        <v>87</v>
      </c>
      <c r="C48" t="s">
        <v>29</v>
      </c>
      <c r="D48" t="s">
        <v>12</v>
      </c>
      <c r="E48">
        <v>104</v>
      </c>
      <c r="F48">
        <v>1</v>
      </c>
      <c r="G48">
        <v>104</v>
      </c>
      <c r="H48" t="s">
        <v>24</v>
      </c>
      <c r="I48" t="s">
        <v>19</v>
      </c>
      <c r="J48" t="s">
        <v>27</v>
      </c>
      <c r="K48" s="15">
        <v>45124</v>
      </c>
      <c r="L48" s="15">
        <v>45126</v>
      </c>
      <c r="N48" t="s">
        <v>330</v>
      </c>
      <c r="O48" t="s">
        <v>200</v>
      </c>
      <c r="P48">
        <v>2</v>
      </c>
      <c r="Q48" t="s">
        <v>306</v>
      </c>
      <c r="R48" t="s">
        <v>331</v>
      </c>
      <c r="S48" t="s">
        <v>242</v>
      </c>
    </row>
    <row r="49" spans="1:19" x14ac:dyDescent="0.25">
      <c r="A49" t="s">
        <v>130</v>
      </c>
      <c r="B49" t="s">
        <v>60</v>
      </c>
      <c r="C49" t="s">
        <v>38</v>
      </c>
      <c r="D49" t="s">
        <v>17</v>
      </c>
      <c r="E49">
        <v>97</v>
      </c>
      <c r="F49">
        <v>1</v>
      </c>
      <c r="G49">
        <v>97</v>
      </c>
      <c r="H49" t="s">
        <v>28</v>
      </c>
      <c r="I49" t="s">
        <v>19</v>
      </c>
      <c r="J49" t="s">
        <v>37</v>
      </c>
      <c r="K49" s="15">
        <v>45218</v>
      </c>
      <c r="L49" s="15">
        <v>45223</v>
      </c>
      <c r="N49" t="s">
        <v>330</v>
      </c>
      <c r="O49" t="s">
        <v>211</v>
      </c>
      <c r="P49">
        <v>5</v>
      </c>
      <c r="Q49" t="s">
        <v>308</v>
      </c>
      <c r="R49" t="s">
        <v>332</v>
      </c>
      <c r="S49" t="s">
        <v>213</v>
      </c>
    </row>
    <row r="50" spans="1:19" x14ac:dyDescent="0.25">
      <c r="A50" t="s">
        <v>131</v>
      </c>
      <c r="B50" t="s">
        <v>132</v>
      </c>
      <c r="C50" t="s">
        <v>39</v>
      </c>
      <c r="D50" t="s">
        <v>21</v>
      </c>
      <c r="E50">
        <v>73</v>
      </c>
      <c r="F50">
        <v>5</v>
      </c>
      <c r="G50">
        <v>365</v>
      </c>
      <c r="H50" t="s">
        <v>13</v>
      </c>
      <c r="I50" t="s">
        <v>22</v>
      </c>
      <c r="J50" t="s">
        <v>27</v>
      </c>
      <c r="K50" s="15">
        <v>45061</v>
      </c>
      <c r="N50" t="s">
        <v>330</v>
      </c>
      <c r="O50" t="s">
        <v>200</v>
      </c>
      <c r="P50" t="s">
        <v>325</v>
      </c>
      <c r="Q50" t="s">
        <v>291</v>
      </c>
      <c r="R50" t="s">
        <v>325</v>
      </c>
      <c r="S50" t="s">
        <v>236</v>
      </c>
    </row>
    <row r="51" spans="1:19" x14ac:dyDescent="0.25">
      <c r="A51" t="s">
        <v>133</v>
      </c>
      <c r="B51" t="s">
        <v>97</v>
      </c>
      <c r="C51" t="s">
        <v>40</v>
      </c>
      <c r="D51" t="s">
        <v>17</v>
      </c>
      <c r="E51">
        <v>27</v>
      </c>
      <c r="F51">
        <v>3</v>
      </c>
      <c r="G51">
        <v>81</v>
      </c>
      <c r="H51" t="s">
        <v>28</v>
      </c>
      <c r="I51" t="s">
        <v>19</v>
      </c>
      <c r="J51" t="s">
        <v>25</v>
      </c>
      <c r="K51" s="15">
        <v>44969</v>
      </c>
      <c r="L51" s="15">
        <v>44976</v>
      </c>
      <c r="N51" t="s">
        <v>330</v>
      </c>
      <c r="O51" t="s">
        <v>211</v>
      </c>
      <c r="P51">
        <v>7</v>
      </c>
      <c r="Q51" t="s">
        <v>305</v>
      </c>
      <c r="R51" t="s">
        <v>332</v>
      </c>
      <c r="S51" t="s">
        <v>210</v>
      </c>
    </row>
    <row r="52" spans="1:19" x14ac:dyDescent="0.25">
      <c r="A52" t="s">
        <v>134</v>
      </c>
      <c r="B52" t="s">
        <v>87</v>
      </c>
      <c r="C52" t="s">
        <v>32</v>
      </c>
      <c r="D52" t="s">
        <v>12</v>
      </c>
      <c r="E52">
        <v>37</v>
      </c>
      <c r="F52">
        <v>1</v>
      </c>
      <c r="G52">
        <v>37</v>
      </c>
      <c r="H52" t="s">
        <v>13</v>
      </c>
      <c r="I52" t="s">
        <v>22</v>
      </c>
      <c r="J52" t="s">
        <v>25</v>
      </c>
      <c r="K52" s="15">
        <v>45201</v>
      </c>
      <c r="N52" t="s">
        <v>330</v>
      </c>
      <c r="O52" t="s">
        <v>206</v>
      </c>
      <c r="P52" t="s">
        <v>325</v>
      </c>
      <c r="Q52" t="s">
        <v>306</v>
      </c>
      <c r="R52" t="s">
        <v>325</v>
      </c>
      <c r="S52" t="s">
        <v>244</v>
      </c>
    </row>
    <row r="53" spans="1:19" x14ac:dyDescent="0.25">
      <c r="A53" t="s">
        <v>135</v>
      </c>
      <c r="B53" t="s">
        <v>105</v>
      </c>
      <c r="C53" t="s">
        <v>41</v>
      </c>
      <c r="D53" t="s">
        <v>12</v>
      </c>
      <c r="E53">
        <v>22</v>
      </c>
      <c r="F53">
        <v>1</v>
      </c>
      <c r="G53">
        <v>22</v>
      </c>
      <c r="H53" t="s">
        <v>31</v>
      </c>
      <c r="I53" t="s">
        <v>19</v>
      </c>
      <c r="J53" t="s">
        <v>37</v>
      </c>
      <c r="K53" s="15">
        <v>44956</v>
      </c>
      <c r="L53" s="15">
        <v>44958</v>
      </c>
      <c r="N53" t="s">
        <v>330</v>
      </c>
      <c r="O53" t="s">
        <v>218</v>
      </c>
      <c r="P53">
        <v>2</v>
      </c>
      <c r="Q53" t="s">
        <v>273</v>
      </c>
      <c r="R53" t="s">
        <v>331</v>
      </c>
      <c r="S53" t="s">
        <v>232</v>
      </c>
    </row>
    <row r="54" spans="1:19" x14ac:dyDescent="0.25">
      <c r="A54" t="s">
        <v>136</v>
      </c>
      <c r="B54" t="s">
        <v>85</v>
      </c>
      <c r="C54" t="s">
        <v>48</v>
      </c>
      <c r="D54" t="s">
        <v>30</v>
      </c>
      <c r="E54">
        <v>218</v>
      </c>
      <c r="F54">
        <v>5</v>
      </c>
      <c r="G54">
        <v>1090</v>
      </c>
      <c r="H54" t="s">
        <v>24</v>
      </c>
      <c r="I54" t="s">
        <v>19</v>
      </c>
      <c r="J54" t="s">
        <v>15</v>
      </c>
      <c r="K54" s="15">
        <v>45289</v>
      </c>
      <c r="L54" s="15">
        <v>45292</v>
      </c>
      <c r="N54" t="s">
        <v>330</v>
      </c>
      <c r="O54" t="s">
        <v>206</v>
      </c>
      <c r="P54">
        <v>3</v>
      </c>
      <c r="Q54" t="s">
        <v>278</v>
      </c>
      <c r="R54" t="s">
        <v>332</v>
      </c>
      <c r="S54" t="s">
        <v>234</v>
      </c>
    </row>
    <row r="55" spans="1:19" x14ac:dyDescent="0.25">
      <c r="A55" t="s">
        <v>137</v>
      </c>
      <c r="B55" t="s">
        <v>100</v>
      </c>
      <c r="C55" t="s">
        <v>50</v>
      </c>
      <c r="D55" t="s">
        <v>12</v>
      </c>
      <c r="E55">
        <v>64</v>
      </c>
      <c r="F55">
        <v>1</v>
      </c>
      <c r="G55">
        <v>64</v>
      </c>
      <c r="H55" t="s">
        <v>13</v>
      </c>
      <c r="I55" t="s">
        <v>14</v>
      </c>
      <c r="J55" t="s">
        <v>23</v>
      </c>
      <c r="K55" s="15">
        <v>44991</v>
      </c>
      <c r="M55" s="15">
        <v>44998</v>
      </c>
      <c r="N55" t="s">
        <v>326</v>
      </c>
      <c r="O55" t="s">
        <v>203</v>
      </c>
      <c r="P55" t="s">
        <v>325</v>
      </c>
      <c r="Q55" t="s">
        <v>288</v>
      </c>
      <c r="R55" t="s">
        <v>325</v>
      </c>
      <c r="S55" t="s">
        <v>208</v>
      </c>
    </row>
    <row r="56" spans="1:19" x14ac:dyDescent="0.25">
      <c r="A56" t="s">
        <v>138</v>
      </c>
      <c r="B56" t="s">
        <v>109</v>
      </c>
      <c r="C56" t="s">
        <v>32</v>
      </c>
      <c r="D56" t="s">
        <v>30</v>
      </c>
      <c r="E56">
        <v>36</v>
      </c>
      <c r="F56">
        <v>4</v>
      </c>
      <c r="G56">
        <v>144</v>
      </c>
      <c r="H56" t="s">
        <v>24</v>
      </c>
      <c r="I56" t="s">
        <v>19</v>
      </c>
      <c r="J56" t="s">
        <v>27</v>
      </c>
      <c r="K56" s="15">
        <v>44959</v>
      </c>
      <c r="L56" s="15">
        <v>44963</v>
      </c>
      <c r="N56" t="s">
        <v>330</v>
      </c>
      <c r="O56" t="s">
        <v>206</v>
      </c>
      <c r="P56">
        <v>4</v>
      </c>
      <c r="Q56" t="s">
        <v>257</v>
      </c>
      <c r="R56" t="s">
        <v>332</v>
      </c>
      <c r="S56" t="s">
        <v>244</v>
      </c>
    </row>
    <row r="57" spans="1:19" x14ac:dyDescent="0.25">
      <c r="A57" t="s">
        <v>139</v>
      </c>
      <c r="B57" t="s">
        <v>140</v>
      </c>
      <c r="C57" t="s">
        <v>50</v>
      </c>
      <c r="D57" t="s">
        <v>33</v>
      </c>
      <c r="E57">
        <v>65</v>
      </c>
      <c r="F57">
        <v>1</v>
      </c>
      <c r="G57">
        <v>65</v>
      </c>
      <c r="H57" t="s">
        <v>28</v>
      </c>
      <c r="I57" t="s">
        <v>19</v>
      </c>
      <c r="J57" t="s">
        <v>37</v>
      </c>
      <c r="K57" s="15">
        <v>45217</v>
      </c>
      <c r="L57" s="15">
        <v>45220</v>
      </c>
      <c r="N57" t="s">
        <v>330</v>
      </c>
      <c r="O57" t="s">
        <v>203</v>
      </c>
      <c r="P57">
        <v>3</v>
      </c>
      <c r="Q57" t="s">
        <v>287</v>
      </c>
      <c r="R57" t="s">
        <v>332</v>
      </c>
      <c r="S57" t="s">
        <v>208</v>
      </c>
    </row>
    <row r="58" spans="1:19" x14ac:dyDescent="0.25">
      <c r="A58" t="s">
        <v>141</v>
      </c>
      <c r="B58" t="s">
        <v>89</v>
      </c>
      <c r="C58" t="s">
        <v>40</v>
      </c>
      <c r="D58" t="s">
        <v>30</v>
      </c>
      <c r="E58">
        <v>26</v>
      </c>
      <c r="F58">
        <v>1</v>
      </c>
      <c r="G58">
        <v>26</v>
      </c>
      <c r="H58" t="s">
        <v>13</v>
      </c>
      <c r="I58" t="s">
        <v>19</v>
      </c>
      <c r="J58" t="s">
        <v>15</v>
      </c>
      <c r="K58" s="15">
        <v>44933</v>
      </c>
      <c r="L58" s="15">
        <v>44935</v>
      </c>
      <c r="N58" t="s">
        <v>330</v>
      </c>
      <c r="O58" t="s">
        <v>211</v>
      </c>
      <c r="P58">
        <v>2</v>
      </c>
      <c r="Q58" t="s">
        <v>287</v>
      </c>
      <c r="R58" t="s">
        <v>331</v>
      </c>
      <c r="S58" t="s">
        <v>210</v>
      </c>
    </row>
    <row r="59" spans="1:19" x14ac:dyDescent="0.25">
      <c r="A59" t="s">
        <v>142</v>
      </c>
      <c r="B59" t="s">
        <v>55</v>
      </c>
      <c r="C59" t="s">
        <v>46</v>
      </c>
      <c r="D59" t="s">
        <v>12</v>
      </c>
      <c r="E59">
        <v>11</v>
      </c>
      <c r="F59">
        <v>5</v>
      </c>
      <c r="G59">
        <v>55</v>
      </c>
      <c r="H59" t="s">
        <v>18</v>
      </c>
      <c r="I59" t="s">
        <v>22</v>
      </c>
      <c r="J59" t="s">
        <v>37</v>
      </c>
      <c r="K59" s="15">
        <v>45054</v>
      </c>
      <c r="N59" t="s">
        <v>330</v>
      </c>
      <c r="O59" t="s">
        <v>218</v>
      </c>
      <c r="P59" t="s">
        <v>325</v>
      </c>
      <c r="Q59" t="s">
        <v>291</v>
      </c>
      <c r="R59" t="s">
        <v>325</v>
      </c>
      <c r="S59" t="s">
        <v>220</v>
      </c>
    </row>
    <row r="60" spans="1:19" x14ac:dyDescent="0.25">
      <c r="A60" t="s">
        <v>143</v>
      </c>
      <c r="B60" t="s">
        <v>144</v>
      </c>
      <c r="C60" t="s">
        <v>20</v>
      </c>
      <c r="D60" t="s">
        <v>12</v>
      </c>
      <c r="E60">
        <v>195</v>
      </c>
      <c r="F60">
        <v>4</v>
      </c>
      <c r="G60">
        <v>780</v>
      </c>
      <c r="H60" t="s">
        <v>24</v>
      </c>
      <c r="I60" t="s">
        <v>14</v>
      </c>
      <c r="J60" t="s">
        <v>37</v>
      </c>
      <c r="K60" s="15">
        <v>45018</v>
      </c>
      <c r="M60" s="15">
        <v>45021</v>
      </c>
      <c r="N60" t="s">
        <v>326</v>
      </c>
      <c r="O60" t="s">
        <v>206</v>
      </c>
      <c r="P60" t="s">
        <v>325</v>
      </c>
      <c r="Q60" t="s">
        <v>261</v>
      </c>
      <c r="R60" t="s">
        <v>325</v>
      </c>
      <c r="S60" t="s">
        <v>228</v>
      </c>
    </row>
    <row r="61" spans="1:19" x14ac:dyDescent="0.25">
      <c r="A61" t="s">
        <v>145</v>
      </c>
      <c r="B61" t="s">
        <v>68</v>
      </c>
      <c r="C61" t="s">
        <v>34</v>
      </c>
      <c r="D61" t="s">
        <v>33</v>
      </c>
      <c r="E61">
        <v>44</v>
      </c>
      <c r="F61">
        <v>5</v>
      </c>
      <c r="G61">
        <v>220</v>
      </c>
      <c r="H61" t="s">
        <v>13</v>
      </c>
      <c r="I61" t="s">
        <v>14</v>
      </c>
      <c r="J61" t="s">
        <v>23</v>
      </c>
      <c r="K61" s="15">
        <v>45210</v>
      </c>
      <c r="M61" s="15">
        <v>45211</v>
      </c>
      <c r="N61" t="s">
        <v>326</v>
      </c>
      <c r="O61" t="s">
        <v>211</v>
      </c>
      <c r="P61" t="s">
        <v>325</v>
      </c>
      <c r="Q61" t="s">
        <v>269</v>
      </c>
      <c r="R61" t="s">
        <v>325</v>
      </c>
      <c r="S61" t="s">
        <v>240</v>
      </c>
    </row>
    <row r="62" spans="1:19" x14ac:dyDescent="0.25">
      <c r="A62" t="s">
        <v>146</v>
      </c>
      <c r="B62" t="s">
        <v>147</v>
      </c>
      <c r="C62" t="s">
        <v>42</v>
      </c>
      <c r="D62" t="s">
        <v>17</v>
      </c>
      <c r="E62">
        <v>69</v>
      </c>
      <c r="F62">
        <v>4</v>
      </c>
      <c r="G62">
        <v>276</v>
      </c>
      <c r="H62" t="s">
        <v>31</v>
      </c>
      <c r="I62" t="s">
        <v>22</v>
      </c>
      <c r="J62" t="s">
        <v>15</v>
      </c>
      <c r="K62" s="15">
        <v>45179</v>
      </c>
      <c r="N62" t="s">
        <v>330</v>
      </c>
      <c r="O62" t="s">
        <v>218</v>
      </c>
      <c r="P62" t="s">
        <v>325</v>
      </c>
      <c r="Q62" t="s">
        <v>301</v>
      </c>
      <c r="R62" t="s">
        <v>325</v>
      </c>
      <c r="S62" t="s">
        <v>217</v>
      </c>
    </row>
    <row r="63" spans="1:19" x14ac:dyDescent="0.25">
      <c r="A63" t="s">
        <v>148</v>
      </c>
      <c r="B63" t="s">
        <v>149</v>
      </c>
      <c r="C63" t="s">
        <v>43</v>
      </c>
      <c r="D63" t="s">
        <v>12</v>
      </c>
      <c r="E63">
        <v>815</v>
      </c>
      <c r="F63">
        <v>4</v>
      </c>
      <c r="G63">
        <v>3260</v>
      </c>
      <c r="H63" t="s">
        <v>18</v>
      </c>
      <c r="I63" t="s">
        <v>19</v>
      </c>
      <c r="J63" t="s">
        <v>23</v>
      </c>
      <c r="K63" s="15">
        <v>45252</v>
      </c>
      <c r="L63" s="15">
        <v>45259</v>
      </c>
      <c r="N63" t="s">
        <v>330</v>
      </c>
      <c r="O63" t="s">
        <v>200</v>
      </c>
      <c r="P63">
        <v>7</v>
      </c>
      <c r="Q63" t="s">
        <v>286</v>
      </c>
      <c r="R63" t="s">
        <v>332</v>
      </c>
      <c r="S63" t="s">
        <v>199</v>
      </c>
    </row>
    <row r="64" spans="1:19" x14ac:dyDescent="0.25">
      <c r="A64" t="s">
        <v>150</v>
      </c>
      <c r="B64" t="s">
        <v>151</v>
      </c>
      <c r="C64" t="s">
        <v>40</v>
      </c>
      <c r="D64" t="s">
        <v>17</v>
      </c>
      <c r="E64">
        <v>27</v>
      </c>
      <c r="F64">
        <v>1</v>
      </c>
      <c r="G64">
        <v>27</v>
      </c>
      <c r="H64" t="s">
        <v>31</v>
      </c>
      <c r="I64" t="s">
        <v>22</v>
      </c>
      <c r="J64" t="s">
        <v>27</v>
      </c>
      <c r="K64" s="15">
        <v>45048</v>
      </c>
      <c r="N64" t="s">
        <v>330</v>
      </c>
      <c r="O64" t="s">
        <v>211</v>
      </c>
      <c r="P64" t="s">
        <v>325</v>
      </c>
      <c r="Q64" t="s">
        <v>264</v>
      </c>
      <c r="R64" t="s">
        <v>325</v>
      </c>
      <c r="S64" t="s">
        <v>210</v>
      </c>
    </row>
    <row r="65" spans="1:19" x14ac:dyDescent="0.25">
      <c r="A65" t="s">
        <v>152</v>
      </c>
      <c r="B65" t="s">
        <v>153</v>
      </c>
      <c r="C65" t="s">
        <v>35</v>
      </c>
      <c r="D65" t="s">
        <v>33</v>
      </c>
      <c r="E65">
        <v>139</v>
      </c>
      <c r="F65">
        <v>5</v>
      </c>
      <c r="G65">
        <v>695</v>
      </c>
      <c r="H65" t="s">
        <v>13</v>
      </c>
      <c r="I65" t="s">
        <v>19</v>
      </c>
      <c r="J65" t="s">
        <v>23</v>
      </c>
      <c r="K65" s="15">
        <v>45285</v>
      </c>
      <c r="L65" s="15">
        <v>45289</v>
      </c>
      <c r="N65" t="s">
        <v>330</v>
      </c>
      <c r="O65" t="s">
        <v>206</v>
      </c>
      <c r="P65">
        <v>4</v>
      </c>
      <c r="Q65" t="s">
        <v>264</v>
      </c>
      <c r="R65" t="s">
        <v>332</v>
      </c>
      <c r="S65" t="s">
        <v>205</v>
      </c>
    </row>
    <row r="66" spans="1:19" x14ac:dyDescent="0.25">
      <c r="A66" t="s">
        <v>154</v>
      </c>
      <c r="B66" t="s">
        <v>64</v>
      </c>
      <c r="C66" t="s">
        <v>42</v>
      </c>
      <c r="D66" t="s">
        <v>21</v>
      </c>
      <c r="E66">
        <v>69</v>
      </c>
      <c r="F66">
        <v>3</v>
      </c>
      <c r="G66">
        <v>207</v>
      </c>
      <c r="H66" t="s">
        <v>24</v>
      </c>
      <c r="I66" t="s">
        <v>14</v>
      </c>
      <c r="J66" t="s">
        <v>27</v>
      </c>
      <c r="K66" s="15">
        <v>45217</v>
      </c>
      <c r="M66" s="15">
        <v>45219</v>
      </c>
      <c r="N66" t="s">
        <v>326</v>
      </c>
      <c r="O66" t="s">
        <v>218</v>
      </c>
      <c r="P66" t="s">
        <v>325</v>
      </c>
      <c r="Q66" t="s">
        <v>275</v>
      </c>
      <c r="R66" t="s">
        <v>325</v>
      </c>
      <c r="S66" t="s">
        <v>217</v>
      </c>
    </row>
    <row r="67" spans="1:19" x14ac:dyDescent="0.25">
      <c r="A67" t="s">
        <v>155</v>
      </c>
      <c r="B67" t="s">
        <v>64</v>
      </c>
      <c r="C67" t="s">
        <v>34</v>
      </c>
      <c r="D67" t="s">
        <v>33</v>
      </c>
      <c r="E67">
        <v>42</v>
      </c>
      <c r="F67">
        <v>1</v>
      </c>
      <c r="G67">
        <v>42</v>
      </c>
      <c r="H67" t="s">
        <v>13</v>
      </c>
      <c r="I67" t="s">
        <v>14</v>
      </c>
      <c r="J67" t="s">
        <v>15</v>
      </c>
      <c r="K67" s="15">
        <v>45066</v>
      </c>
      <c r="M67" s="15">
        <v>45067</v>
      </c>
      <c r="N67" t="s">
        <v>326</v>
      </c>
      <c r="O67" t="s">
        <v>211</v>
      </c>
      <c r="P67" t="s">
        <v>325</v>
      </c>
      <c r="Q67" t="s">
        <v>275</v>
      </c>
      <c r="R67" t="s">
        <v>325</v>
      </c>
      <c r="S67" t="s">
        <v>240</v>
      </c>
    </row>
    <row r="68" spans="1:19" x14ac:dyDescent="0.25">
      <c r="A68" t="s">
        <v>156</v>
      </c>
      <c r="B68" t="s">
        <v>157</v>
      </c>
      <c r="C68" t="s">
        <v>49</v>
      </c>
      <c r="D68" t="s">
        <v>12</v>
      </c>
      <c r="E68">
        <v>31</v>
      </c>
      <c r="F68">
        <v>4</v>
      </c>
      <c r="G68">
        <v>124</v>
      </c>
      <c r="H68" t="s">
        <v>18</v>
      </c>
      <c r="I68" t="s">
        <v>19</v>
      </c>
      <c r="J68" t="s">
        <v>25</v>
      </c>
      <c r="K68" s="15">
        <v>45135</v>
      </c>
      <c r="L68" s="15">
        <v>45137</v>
      </c>
      <c r="N68" t="s">
        <v>330</v>
      </c>
      <c r="O68" t="s">
        <v>203</v>
      </c>
      <c r="P68">
        <v>2</v>
      </c>
      <c r="Q68" t="e">
        <v>#N/A</v>
      </c>
      <c r="R68" t="s">
        <v>331</v>
      </c>
      <c r="S68" t="s">
        <v>215</v>
      </c>
    </row>
    <row r="69" spans="1:19" x14ac:dyDescent="0.25">
      <c r="A69" t="s">
        <v>158</v>
      </c>
      <c r="B69" t="s">
        <v>75</v>
      </c>
      <c r="C69" t="s">
        <v>29</v>
      </c>
      <c r="D69" t="s">
        <v>33</v>
      </c>
      <c r="E69">
        <v>104</v>
      </c>
      <c r="F69">
        <v>3</v>
      </c>
      <c r="G69">
        <v>312</v>
      </c>
      <c r="H69" t="s">
        <v>18</v>
      </c>
      <c r="I69" t="s">
        <v>22</v>
      </c>
      <c r="J69" t="s">
        <v>25</v>
      </c>
      <c r="K69" s="15">
        <v>45278</v>
      </c>
      <c r="N69" t="s">
        <v>330</v>
      </c>
      <c r="O69" t="s">
        <v>200</v>
      </c>
      <c r="P69" t="s">
        <v>325</v>
      </c>
      <c r="Q69" t="s">
        <v>257</v>
      </c>
      <c r="R69" t="s">
        <v>325</v>
      </c>
      <c r="S69" t="s">
        <v>242</v>
      </c>
    </row>
    <row r="70" spans="1:19" x14ac:dyDescent="0.25">
      <c r="A70" t="s">
        <v>159</v>
      </c>
      <c r="B70" t="s">
        <v>60</v>
      </c>
      <c r="C70" t="s">
        <v>26</v>
      </c>
      <c r="D70" t="s">
        <v>17</v>
      </c>
      <c r="E70">
        <v>58</v>
      </c>
      <c r="F70">
        <v>2</v>
      </c>
      <c r="G70">
        <v>116</v>
      </c>
      <c r="H70" t="s">
        <v>13</v>
      </c>
      <c r="I70" t="s">
        <v>14</v>
      </c>
      <c r="J70" t="s">
        <v>23</v>
      </c>
      <c r="K70" s="15">
        <v>45109</v>
      </c>
      <c r="M70" s="15">
        <v>45114</v>
      </c>
      <c r="N70" t="s">
        <v>326</v>
      </c>
      <c r="O70" t="s">
        <v>211</v>
      </c>
      <c r="P70" t="s">
        <v>325</v>
      </c>
      <c r="Q70" t="s">
        <v>308</v>
      </c>
      <c r="R70" t="s">
        <v>325</v>
      </c>
      <c r="S70" t="s">
        <v>222</v>
      </c>
    </row>
    <row r="71" spans="1:19" x14ac:dyDescent="0.25">
      <c r="A71" t="s">
        <v>160</v>
      </c>
      <c r="B71" t="s">
        <v>64</v>
      </c>
      <c r="C71" t="s">
        <v>50</v>
      </c>
      <c r="D71" t="s">
        <v>33</v>
      </c>
      <c r="E71">
        <v>62</v>
      </c>
      <c r="F71">
        <v>2</v>
      </c>
      <c r="G71">
        <v>124</v>
      </c>
      <c r="H71" t="s">
        <v>31</v>
      </c>
      <c r="I71" t="s">
        <v>14</v>
      </c>
      <c r="J71" t="s">
        <v>15</v>
      </c>
      <c r="K71" s="15">
        <v>45208</v>
      </c>
      <c r="M71" s="15">
        <v>45209</v>
      </c>
      <c r="N71" t="s">
        <v>326</v>
      </c>
      <c r="O71" t="s">
        <v>203</v>
      </c>
      <c r="P71" t="s">
        <v>325</v>
      </c>
      <c r="Q71" t="s">
        <v>275</v>
      </c>
      <c r="R71" t="s">
        <v>325</v>
      </c>
      <c r="S71" t="s">
        <v>208</v>
      </c>
    </row>
    <row r="72" spans="1:19" x14ac:dyDescent="0.25">
      <c r="A72" t="s">
        <v>161</v>
      </c>
      <c r="B72" t="s">
        <v>120</v>
      </c>
      <c r="C72" t="s">
        <v>34</v>
      </c>
      <c r="D72" t="s">
        <v>17</v>
      </c>
      <c r="E72">
        <v>43</v>
      </c>
      <c r="F72">
        <v>1</v>
      </c>
      <c r="G72">
        <v>43</v>
      </c>
      <c r="H72" t="s">
        <v>18</v>
      </c>
      <c r="I72" t="s">
        <v>19</v>
      </c>
      <c r="J72" t="s">
        <v>27</v>
      </c>
      <c r="K72" s="15">
        <v>45278</v>
      </c>
      <c r="L72" s="15">
        <v>45285</v>
      </c>
      <c r="N72" t="s">
        <v>330</v>
      </c>
      <c r="O72" t="s">
        <v>211</v>
      </c>
      <c r="P72">
        <v>7</v>
      </c>
      <c r="Q72" t="s">
        <v>269</v>
      </c>
      <c r="R72" t="s">
        <v>332</v>
      </c>
      <c r="S72" t="s">
        <v>240</v>
      </c>
    </row>
    <row r="73" spans="1:19" x14ac:dyDescent="0.25">
      <c r="A73" t="s">
        <v>162</v>
      </c>
      <c r="B73" t="s">
        <v>149</v>
      </c>
      <c r="C73" t="s">
        <v>50</v>
      </c>
      <c r="D73" t="s">
        <v>17</v>
      </c>
      <c r="E73">
        <v>62</v>
      </c>
      <c r="F73">
        <v>4</v>
      </c>
      <c r="G73">
        <v>248</v>
      </c>
      <c r="H73" t="s">
        <v>31</v>
      </c>
      <c r="I73" t="s">
        <v>22</v>
      </c>
      <c r="J73" t="s">
        <v>27</v>
      </c>
      <c r="K73" s="15">
        <v>44992</v>
      </c>
      <c r="N73" t="s">
        <v>330</v>
      </c>
      <c r="O73" t="s">
        <v>203</v>
      </c>
      <c r="P73" t="s">
        <v>325</v>
      </c>
      <c r="Q73" t="s">
        <v>286</v>
      </c>
      <c r="R73" t="s">
        <v>325</v>
      </c>
      <c r="S73" t="s">
        <v>208</v>
      </c>
    </row>
    <row r="74" spans="1:19" x14ac:dyDescent="0.25">
      <c r="A74" t="s">
        <v>163</v>
      </c>
      <c r="B74" t="s">
        <v>95</v>
      </c>
      <c r="C74" t="s">
        <v>38</v>
      </c>
      <c r="D74" t="s">
        <v>12</v>
      </c>
      <c r="E74">
        <v>95</v>
      </c>
      <c r="F74">
        <v>2</v>
      </c>
      <c r="G74">
        <v>190</v>
      </c>
      <c r="H74" t="s">
        <v>24</v>
      </c>
      <c r="I74" t="s">
        <v>14</v>
      </c>
      <c r="J74" t="s">
        <v>25</v>
      </c>
      <c r="K74" s="15">
        <v>45129</v>
      </c>
      <c r="M74" s="15">
        <v>45132</v>
      </c>
      <c r="N74" t="s">
        <v>326</v>
      </c>
      <c r="O74" t="s">
        <v>211</v>
      </c>
      <c r="P74" t="s">
        <v>325</v>
      </c>
      <c r="Q74" t="s">
        <v>295</v>
      </c>
      <c r="R74" t="s">
        <v>325</v>
      </c>
      <c r="S74" t="s">
        <v>213</v>
      </c>
    </row>
    <row r="75" spans="1:19" x14ac:dyDescent="0.25">
      <c r="A75" t="s">
        <v>164</v>
      </c>
      <c r="B75" t="s">
        <v>93</v>
      </c>
      <c r="C75" t="s">
        <v>32</v>
      </c>
      <c r="D75" t="s">
        <v>30</v>
      </c>
      <c r="E75">
        <v>36</v>
      </c>
      <c r="F75">
        <v>4</v>
      </c>
      <c r="G75">
        <v>144</v>
      </c>
      <c r="H75" t="s">
        <v>13</v>
      </c>
      <c r="I75" t="s">
        <v>19</v>
      </c>
      <c r="J75" t="s">
        <v>37</v>
      </c>
      <c r="K75" s="15">
        <v>44944</v>
      </c>
      <c r="L75" s="15">
        <v>44950</v>
      </c>
      <c r="N75" t="s">
        <v>330</v>
      </c>
      <c r="O75" t="s">
        <v>206</v>
      </c>
      <c r="P75">
        <v>6</v>
      </c>
      <c r="Q75" t="s">
        <v>286</v>
      </c>
      <c r="R75" t="s">
        <v>332</v>
      </c>
      <c r="S75" t="s">
        <v>244</v>
      </c>
    </row>
    <row r="76" spans="1:19" x14ac:dyDescent="0.25">
      <c r="A76" t="s">
        <v>165</v>
      </c>
      <c r="B76" t="s">
        <v>66</v>
      </c>
      <c r="C76" t="s">
        <v>39</v>
      </c>
      <c r="D76" t="s">
        <v>17</v>
      </c>
      <c r="E76">
        <v>73</v>
      </c>
      <c r="F76">
        <v>5</v>
      </c>
      <c r="G76">
        <v>365</v>
      </c>
      <c r="H76" t="s">
        <v>13</v>
      </c>
      <c r="I76" t="s">
        <v>22</v>
      </c>
      <c r="J76" t="s">
        <v>15</v>
      </c>
      <c r="K76" s="15">
        <v>45070</v>
      </c>
      <c r="N76" t="s">
        <v>330</v>
      </c>
      <c r="O76" t="s">
        <v>200</v>
      </c>
      <c r="P76" t="s">
        <v>325</v>
      </c>
      <c r="Q76" t="s">
        <v>264</v>
      </c>
      <c r="R76" t="s">
        <v>325</v>
      </c>
      <c r="S76" t="s">
        <v>236</v>
      </c>
    </row>
    <row r="77" spans="1:19" x14ac:dyDescent="0.25">
      <c r="A77" t="s">
        <v>166</v>
      </c>
      <c r="B77" t="s">
        <v>77</v>
      </c>
      <c r="C77" t="s">
        <v>34</v>
      </c>
      <c r="D77" t="s">
        <v>12</v>
      </c>
      <c r="E77">
        <v>43</v>
      </c>
      <c r="F77">
        <v>4</v>
      </c>
      <c r="G77">
        <v>172</v>
      </c>
      <c r="H77" t="s">
        <v>31</v>
      </c>
      <c r="I77" t="s">
        <v>19</v>
      </c>
      <c r="J77" t="s">
        <v>15</v>
      </c>
      <c r="K77" s="15">
        <v>45172</v>
      </c>
      <c r="L77" s="15">
        <v>45178</v>
      </c>
      <c r="N77" t="s">
        <v>330</v>
      </c>
      <c r="O77" t="s">
        <v>211</v>
      </c>
      <c r="P77">
        <v>6</v>
      </c>
      <c r="Q77" t="s">
        <v>292</v>
      </c>
      <c r="R77" t="s">
        <v>332</v>
      </c>
      <c r="S77" t="s">
        <v>240</v>
      </c>
    </row>
    <row r="78" spans="1:19" x14ac:dyDescent="0.25">
      <c r="A78" t="s">
        <v>167</v>
      </c>
      <c r="B78" t="s">
        <v>151</v>
      </c>
      <c r="C78" t="s">
        <v>48</v>
      </c>
      <c r="D78" t="s">
        <v>33</v>
      </c>
      <c r="E78">
        <v>214</v>
      </c>
      <c r="F78">
        <v>5</v>
      </c>
      <c r="G78">
        <v>1070</v>
      </c>
      <c r="H78" t="s">
        <v>31</v>
      </c>
      <c r="I78" t="s">
        <v>19</v>
      </c>
      <c r="J78" t="s">
        <v>25</v>
      </c>
      <c r="K78" s="15">
        <v>45232</v>
      </c>
      <c r="L78" s="15">
        <v>45234</v>
      </c>
      <c r="N78" t="s">
        <v>330</v>
      </c>
      <c r="O78" t="s">
        <v>206</v>
      </c>
      <c r="P78">
        <v>2</v>
      </c>
      <c r="Q78" t="s">
        <v>264</v>
      </c>
      <c r="R78" t="s">
        <v>331</v>
      </c>
      <c r="S78" t="s">
        <v>234</v>
      </c>
    </row>
    <row r="79" spans="1:19" x14ac:dyDescent="0.25">
      <c r="A79" t="s">
        <v>168</v>
      </c>
      <c r="B79" t="s">
        <v>153</v>
      </c>
      <c r="C79" t="s">
        <v>44</v>
      </c>
      <c r="D79" t="s">
        <v>30</v>
      </c>
      <c r="E79">
        <v>42</v>
      </c>
      <c r="F79">
        <v>2</v>
      </c>
      <c r="G79">
        <v>84</v>
      </c>
      <c r="H79" t="s">
        <v>13</v>
      </c>
      <c r="I79" t="s">
        <v>14</v>
      </c>
      <c r="J79" t="s">
        <v>25</v>
      </c>
      <c r="K79" s="15">
        <v>45263</v>
      </c>
      <c r="M79" s="15">
        <v>45266</v>
      </c>
      <c r="N79" t="s">
        <v>326</v>
      </c>
      <c r="O79" t="s">
        <v>203</v>
      </c>
      <c r="P79" t="s">
        <v>325</v>
      </c>
      <c r="Q79" t="s">
        <v>264</v>
      </c>
      <c r="R79" t="s">
        <v>325</v>
      </c>
      <c r="S79" t="s">
        <v>202</v>
      </c>
    </row>
    <row r="80" spans="1:19" x14ac:dyDescent="0.25">
      <c r="A80" t="s">
        <v>169</v>
      </c>
      <c r="B80" t="s">
        <v>153</v>
      </c>
      <c r="C80" t="s">
        <v>11</v>
      </c>
      <c r="D80" t="s">
        <v>12</v>
      </c>
      <c r="E80">
        <v>46</v>
      </c>
      <c r="F80">
        <v>1</v>
      </c>
      <c r="G80">
        <v>46</v>
      </c>
      <c r="H80" t="s">
        <v>28</v>
      </c>
      <c r="I80" t="s">
        <v>22</v>
      </c>
      <c r="J80" t="s">
        <v>25</v>
      </c>
      <c r="K80" s="15">
        <v>45017</v>
      </c>
      <c r="N80" t="s">
        <v>330</v>
      </c>
      <c r="O80" t="s">
        <v>206</v>
      </c>
      <c r="P80" t="s">
        <v>325</v>
      </c>
      <c r="Q80" t="s">
        <v>264</v>
      </c>
      <c r="R80" t="s">
        <v>325</v>
      </c>
      <c r="S80" t="s">
        <v>226</v>
      </c>
    </row>
    <row r="81" spans="1:19" x14ac:dyDescent="0.25">
      <c r="A81" t="s">
        <v>170</v>
      </c>
      <c r="B81" t="s">
        <v>113</v>
      </c>
      <c r="C81" t="s">
        <v>16</v>
      </c>
      <c r="D81" t="s">
        <v>17</v>
      </c>
      <c r="E81">
        <v>95</v>
      </c>
      <c r="F81">
        <v>4</v>
      </c>
      <c r="G81">
        <v>380</v>
      </c>
      <c r="H81" t="s">
        <v>18</v>
      </c>
      <c r="I81" t="s">
        <v>19</v>
      </c>
      <c r="J81" t="s">
        <v>25</v>
      </c>
      <c r="K81" s="15">
        <v>45215</v>
      </c>
      <c r="L81" s="15">
        <v>45218</v>
      </c>
      <c r="N81" t="s">
        <v>330</v>
      </c>
      <c r="O81" t="s">
        <v>203</v>
      </c>
      <c r="P81">
        <v>3</v>
      </c>
      <c r="Q81" t="s">
        <v>298</v>
      </c>
      <c r="R81" t="s">
        <v>332</v>
      </c>
      <c r="S81" t="s">
        <v>238</v>
      </c>
    </row>
    <row r="82" spans="1:19" x14ac:dyDescent="0.25">
      <c r="A82" t="s">
        <v>171</v>
      </c>
      <c r="B82" t="s">
        <v>122</v>
      </c>
      <c r="C82" t="s">
        <v>47</v>
      </c>
      <c r="D82" t="s">
        <v>33</v>
      </c>
      <c r="E82">
        <v>174</v>
      </c>
      <c r="F82">
        <v>2</v>
      </c>
      <c r="G82">
        <v>348</v>
      </c>
      <c r="H82" t="s">
        <v>24</v>
      </c>
      <c r="I82" t="s">
        <v>22</v>
      </c>
      <c r="J82" t="s">
        <v>25</v>
      </c>
      <c r="K82" s="15">
        <v>45235</v>
      </c>
      <c r="N82" t="s">
        <v>330</v>
      </c>
      <c r="O82" t="s">
        <v>200</v>
      </c>
      <c r="P82" t="s">
        <v>325</v>
      </c>
      <c r="Q82" t="s">
        <v>253</v>
      </c>
      <c r="R82" t="s">
        <v>325</v>
      </c>
      <c r="S82" t="s">
        <v>224</v>
      </c>
    </row>
    <row r="83" spans="1:19" x14ac:dyDescent="0.25">
      <c r="A83" t="s">
        <v>172</v>
      </c>
      <c r="B83" t="s">
        <v>73</v>
      </c>
      <c r="C83" t="s">
        <v>40</v>
      </c>
      <c r="D83" t="s">
        <v>12</v>
      </c>
      <c r="E83">
        <v>27</v>
      </c>
      <c r="F83">
        <v>5</v>
      </c>
      <c r="G83">
        <v>135</v>
      </c>
      <c r="H83" t="s">
        <v>18</v>
      </c>
      <c r="I83" t="s">
        <v>14</v>
      </c>
      <c r="J83" t="s">
        <v>27</v>
      </c>
      <c r="K83" s="15">
        <v>45092</v>
      </c>
      <c r="M83" s="15">
        <v>45095</v>
      </c>
      <c r="N83" t="s">
        <v>326</v>
      </c>
      <c r="O83" t="s">
        <v>211</v>
      </c>
      <c r="P83" t="s">
        <v>325</v>
      </c>
      <c r="Q83" t="s">
        <v>257</v>
      </c>
      <c r="R83" t="s">
        <v>325</v>
      </c>
      <c r="S83" t="s">
        <v>210</v>
      </c>
    </row>
    <row r="84" spans="1:19" x14ac:dyDescent="0.25">
      <c r="A84" t="s">
        <v>173</v>
      </c>
      <c r="B84" t="s">
        <v>55</v>
      </c>
      <c r="C84" t="s">
        <v>40</v>
      </c>
      <c r="D84" t="s">
        <v>21</v>
      </c>
      <c r="E84">
        <v>27</v>
      </c>
      <c r="F84">
        <v>4</v>
      </c>
      <c r="G84">
        <v>108</v>
      </c>
      <c r="H84" t="s">
        <v>24</v>
      </c>
      <c r="I84" t="s">
        <v>19</v>
      </c>
      <c r="J84" t="s">
        <v>23</v>
      </c>
      <c r="K84" s="15">
        <v>45227</v>
      </c>
      <c r="L84" s="15">
        <v>45229</v>
      </c>
      <c r="N84" t="s">
        <v>330</v>
      </c>
      <c r="O84" t="s">
        <v>211</v>
      </c>
      <c r="P84">
        <v>2</v>
      </c>
      <c r="Q84" t="s">
        <v>291</v>
      </c>
      <c r="R84" t="s">
        <v>331</v>
      </c>
      <c r="S84" t="s">
        <v>210</v>
      </c>
    </row>
    <row r="85" spans="1:19" x14ac:dyDescent="0.25">
      <c r="A85" t="s">
        <v>174</v>
      </c>
      <c r="B85" t="s">
        <v>175</v>
      </c>
      <c r="C85" t="s">
        <v>45</v>
      </c>
      <c r="D85" t="s">
        <v>21</v>
      </c>
      <c r="E85">
        <v>65</v>
      </c>
      <c r="F85">
        <v>2</v>
      </c>
      <c r="G85">
        <v>130</v>
      </c>
      <c r="H85" t="s">
        <v>24</v>
      </c>
      <c r="I85" t="s">
        <v>22</v>
      </c>
      <c r="J85" t="s">
        <v>15</v>
      </c>
      <c r="K85" s="15">
        <v>45282</v>
      </c>
      <c r="N85" t="s">
        <v>330</v>
      </c>
      <c r="O85" t="s">
        <v>211</v>
      </c>
      <c r="P85" t="s">
        <v>325</v>
      </c>
      <c r="Q85" t="s">
        <v>285</v>
      </c>
      <c r="R85" t="s">
        <v>325</v>
      </c>
      <c r="S85" t="s">
        <v>246</v>
      </c>
    </row>
    <row r="86" spans="1:19" x14ac:dyDescent="0.25">
      <c r="A86" t="s">
        <v>176</v>
      </c>
      <c r="B86" t="s">
        <v>75</v>
      </c>
      <c r="C86" t="s">
        <v>34</v>
      </c>
      <c r="D86" t="s">
        <v>17</v>
      </c>
      <c r="E86">
        <v>43</v>
      </c>
      <c r="F86">
        <v>5</v>
      </c>
      <c r="G86">
        <v>215</v>
      </c>
      <c r="H86" t="s">
        <v>31</v>
      </c>
      <c r="I86" t="s">
        <v>22</v>
      </c>
      <c r="J86" t="s">
        <v>15</v>
      </c>
      <c r="K86" s="15">
        <v>44992</v>
      </c>
      <c r="N86" t="s">
        <v>330</v>
      </c>
      <c r="O86" t="s">
        <v>211</v>
      </c>
      <c r="P86" t="s">
        <v>325</v>
      </c>
      <c r="Q86" t="s">
        <v>257</v>
      </c>
      <c r="R86" t="s">
        <v>325</v>
      </c>
      <c r="S86" t="s">
        <v>240</v>
      </c>
    </row>
    <row r="87" spans="1:19" x14ac:dyDescent="0.25">
      <c r="A87" t="s">
        <v>177</v>
      </c>
      <c r="B87" t="s">
        <v>103</v>
      </c>
      <c r="C87" t="s">
        <v>48</v>
      </c>
      <c r="D87" t="s">
        <v>33</v>
      </c>
      <c r="E87">
        <v>210</v>
      </c>
      <c r="F87">
        <v>1</v>
      </c>
      <c r="G87">
        <v>210</v>
      </c>
      <c r="H87" t="s">
        <v>24</v>
      </c>
      <c r="I87" t="s">
        <v>22</v>
      </c>
      <c r="J87" t="s">
        <v>25</v>
      </c>
      <c r="K87" s="15">
        <v>45240</v>
      </c>
      <c r="N87" t="s">
        <v>330</v>
      </c>
      <c r="O87" t="s">
        <v>206</v>
      </c>
      <c r="P87" t="s">
        <v>325</v>
      </c>
      <c r="Q87" t="s">
        <v>272</v>
      </c>
      <c r="R87" t="s">
        <v>325</v>
      </c>
      <c r="S87" t="s">
        <v>234</v>
      </c>
    </row>
    <row r="88" spans="1:19" x14ac:dyDescent="0.25">
      <c r="A88" t="s">
        <v>178</v>
      </c>
      <c r="B88" t="s">
        <v>179</v>
      </c>
      <c r="C88" t="s">
        <v>32</v>
      </c>
      <c r="D88" t="s">
        <v>21</v>
      </c>
      <c r="E88">
        <v>37</v>
      </c>
      <c r="F88">
        <v>3</v>
      </c>
      <c r="G88">
        <v>111</v>
      </c>
      <c r="H88" t="s">
        <v>18</v>
      </c>
      <c r="I88" t="s">
        <v>22</v>
      </c>
      <c r="J88" t="s">
        <v>25</v>
      </c>
      <c r="K88" s="15">
        <v>45252</v>
      </c>
      <c r="N88" t="s">
        <v>330</v>
      </c>
      <c r="O88" t="s">
        <v>206</v>
      </c>
      <c r="P88" t="s">
        <v>325</v>
      </c>
      <c r="Q88" t="s">
        <v>307</v>
      </c>
      <c r="R88" t="s">
        <v>325</v>
      </c>
      <c r="S88" t="s">
        <v>244</v>
      </c>
    </row>
    <row r="89" spans="1:19" x14ac:dyDescent="0.25">
      <c r="A89" t="s">
        <v>180</v>
      </c>
      <c r="B89" t="s">
        <v>103</v>
      </c>
      <c r="C89" t="s">
        <v>43</v>
      </c>
      <c r="D89" t="s">
        <v>21</v>
      </c>
      <c r="E89">
        <v>788</v>
      </c>
      <c r="F89">
        <v>4</v>
      </c>
      <c r="G89">
        <v>3152</v>
      </c>
      <c r="H89" t="s">
        <v>31</v>
      </c>
      <c r="I89" t="s">
        <v>22</v>
      </c>
      <c r="J89" t="s">
        <v>27</v>
      </c>
      <c r="K89" s="15">
        <v>45054</v>
      </c>
      <c r="N89" t="s">
        <v>330</v>
      </c>
      <c r="O89" t="s">
        <v>200</v>
      </c>
      <c r="P89" t="s">
        <v>325</v>
      </c>
      <c r="Q89" t="s">
        <v>272</v>
      </c>
      <c r="R89" t="s">
        <v>325</v>
      </c>
      <c r="S89" t="s">
        <v>199</v>
      </c>
    </row>
    <row r="90" spans="1:19" x14ac:dyDescent="0.25">
      <c r="A90" t="s">
        <v>181</v>
      </c>
      <c r="B90" t="s">
        <v>103</v>
      </c>
      <c r="C90" t="s">
        <v>48</v>
      </c>
      <c r="D90" t="s">
        <v>33</v>
      </c>
      <c r="E90">
        <v>217</v>
      </c>
      <c r="F90">
        <v>5</v>
      </c>
      <c r="G90">
        <v>1085</v>
      </c>
      <c r="H90" t="s">
        <v>31</v>
      </c>
      <c r="I90" t="s">
        <v>22</v>
      </c>
      <c r="J90" t="s">
        <v>37</v>
      </c>
      <c r="K90" s="15">
        <v>45120</v>
      </c>
      <c r="N90" t="s">
        <v>330</v>
      </c>
      <c r="O90" t="s">
        <v>206</v>
      </c>
      <c r="P90" t="s">
        <v>325</v>
      </c>
      <c r="Q90" t="s">
        <v>272</v>
      </c>
      <c r="R90" t="s">
        <v>325</v>
      </c>
      <c r="S90" t="s">
        <v>234</v>
      </c>
    </row>
    <row r="91" spans="1:19" x14ac:dyDescent="0.25">
      <c r="A91" t="s">
        <v>182</v>
      </c>
      <c r="B91" t="s">
        <v>103</v>
      </c>
      <c r="C91" t="s">
        <v>35</v>
      </c>
      <c r="D91" t="s">
        <v>33</v>
      </c>
      <c r="E91">
        <v>138</v>
      </c>
      <c r="F91">
        <v>4</v>
      </c>
      <c r="G91">
        <v>552</v>
      </c>
      <c r="H91" t="s">
        <v>18</v>
      </c>
      <c r="I91" t="s">
        <v>22</v>
      </c>
      <c r="J91" t="s">
        <v>37</v>
      </c>
      <c r="K91" s="15">
        <v>44944</v>
      </c>
      <c r="N91" t="s">
        <v>330</v>
      </c>
      <c r="O91" t="s">
        <v>206</v>
      </c>
      <c r="P91" t="s">
        <v>325</v>
      </c>
      <c r="Q91" t="s">
        <v>272</v>
      </c>
      <c r="R91" t="s">
        <v>325</v>
      </c>
      <c r="S91" t="s">
        <v>205</v>
      </c>
    </row>
    <row r="92" spans="1:19" x14ac:dyDescent="0.25">
      <c r="A92" t="s">
        <v>183</v>
      </c>
      <c r="B92" t="s">
        <v>184</v>
      </c>
      <c r="C92" t="s">
        <v>43</v>
      </c>
      <c r="D92" t="s">
        <v>30</v>
      </c>
      <c r="E92">
        <v>803</v>
      </c>
      <c r="F92">
        <v>2</v>
      </c>
      <c r="G92">
        <v>1606</v>
      </c>
      <c r="H92" t="s">
        <v>13</v>
      </c>
      <c r="I92" t="s">
        <v>19</v>
      </c>
      <c r="J92" t="s">
        <v>37</v>
      </c>
      <c r="K92" s="15">
        <v>45100</v>
      </c>
      <c r="L92" s="15">
        <v>45106</v>
      </c>
      <c r="N92" t="s">
        <v>330</v>
      </c>
      <c r="O92" t="s">
        <v>200</v>
      </c>
      <c r="P92">
        <v>6</v>
      </c>
      <c r="Q92" t="s">
        <v>297</v>
      </c>
      <c r="R92" t="s">
        <v>332</v>
      </c>
      <c r="S92" t="s">
        <v>199</v>
      </c>
    </row>
    <row r="93" spans="1:19" x14ac:dyDescent="0.25">
      <c r="A93" t="s">
        <v>185</v>
      </c>
      <c r="B93" t="s">
        <v>70</v>
      </c>
      <c r="C93" t="s">
        <v>36</v>
      </c>
      <c r="D93" t="s">
        <v>12</v>
      </c>
      <c r="E93">
        <v>248</v>
      </c>
      <c r="F93">
        <v>5</v>
      </c>
      <c r="G93">
        <v>1240</v>
      </c>
      <c r="H93" t="s">
        <v>24</v>
      </c>
      <c r="I93" t="s">
        <v>14</v>
      </c>
      <c r="J93" t="s">
        <v>25</v>
      </c>
      <c r="K93" s="15">
        <v>44978</v>
      </c>
      <c r="M93" s="15">
        <v>44982</v>
      </c>
      <c r="N93" t="s">
        <v>326</v>
      </c>
      <c r="O93" t="s">
        <v>200</v>
      </c>
      <c r="P93" t="s">
        <v>325</v>
      </c>
      <c r="Q93" t="s">
        <v>268</v>
      </c>
      <c r="R93" t="s">
        <v>325</v>
      </c>
      <c r="S93" t="s">
        <v>230</v>
      </c>
    </row>
    <row r="94" spans="1:19" x14ac:dyDescent="0.25">
      <c r="A94" t="s">
        <v>186</v>
      </c>
      <c r="B94" t="s">
        <v>187</v>
      </c>
      <c r="C94" t="s">
        <v>48</v>
      </c>
      <c r="D94" t="s">
        <v>17</v>
      </c>
      <c r="E94">
        <v>210</v>
      </c>
      <c r="F94">
        <v>3</v>
      </c>
      <c r="G94">
        <v>630</v>
      </c>
      <c r="H94" t="s">
        <v>13</v>
      </c>
      <c r="I94" t="s">
        <v>19</v>
      </c>
      <c r="J94" t="s">
        <v>15</v>
      </c>
      <c r="K94" s="15">
        <v>44976</v>
      </c>
      <c r="L94" s="15">
        <v>44978</v>
      </c>
      <c r="N94" t="s">
        <v>330</v>
      </c>
      <c r="O94" t="s">
        <v>206</v>
      </c>
      <c r="P94">
        <v>2</v>
      </c>
      <c r="Q94" t="s">
        <v>261</v>
      </c>
      <c r="R94" t="s">
        <v>331</v>
      </c>
      <c r="S94" t="s">
        <v>234</v>
      </c>
    </row>
    <row r="95" spans="1:19" x14ac:dyDescent="0.25">
      <c r="A95" t="s">
        <v>188</v>
      </c>
      <c r="B95" t="s">
        <v>70</v>
      </c>
      <c r="C95" t="s">
        <v>50</v>
      </c>
      <c r="D95" t="s">
        <v>12</v>
      </c>
      <c r="E95">
        <v>62</v>
      </c>
      <c r="F95">
        <v>2</v>
      </c>
      <c r="G95">
        <v>124</v>
      </c>
      <c r="H95" t="s">
        <v>18</v>
      </c>
      <c r="I95" t="s">
        <v>14</v>
      </c>
      <c r="J95" t="s">
        <v>37</v>
      </c>
      <c r="K95" s="15">
        <v>45265</v>
      </c>
      <c r="M95" s="15">
        <v>45272</v>
      </c>
      <c r="N95" t="s">
        <v>326</v>
      </c>
      <c r="O95" t="s">
        <v>203</v>
      </c>
      <c r="P95" t="s">
        <v>325</v>
      </c>
      <c r="Q95" t="s">
        <v>268</v>
      </c>
      <c r="R95" t="s">
        <v>325</v>
      </c>
      <c r="S95" t="s">
        <v>208</v>
      </c>
    </row>
    <row r="96" spans="1:19" x14ac:dyDescent="0.25">
      <c r="A96" t="s">
        <v>189</v>
      </c>
      <c r="B96" t="s">
        <v>179</v>
      </c>
      <c r="C96" t="s">
        <v>46</v>
      </c>
      <c r="D96" t="s">
        <v>21</v>
      </c>
      <c r="E96">
        <v>11</v>
      </c>
      <c r="F96">
        <v>5</v>
      </c>
      <c r="G96">
        <v>55</v>
      </c>
      <c r="H96" t="s">
        <v>31</v>
      </c>
      <c r="I96" t="s">
        <v>14</v>
      </c>
      <c r="J96" t="s">
        <v>27</v>
      </c>
      <c r="K96" s="15">
        <v>45084</v>
      </c>
      <c r="M96" s="15">
        <v>45089</v>
      </c>
      <c r="N96" t="s">
        <v>326</v>
      </c>
      <c r="O96" t="s">
        <v>218</v>
      </c>
      <c r="P96" t="s">
        <v>325</v>
      </c>
      <c r="Q96" t="s">
        <v>307</v>
      </c>
      <c r="R96" t="s">
        <v>325</v>
      </c>
      <c r="S96" t="s">
        <v>220</v>
      </c>
    </row>
    <row r="97" spans="1:19" x14ac:dyDescent="0.25">
      <c r="A97" t="s">
        <v>190</v>
      </c>
      <c r="B97" t="s">
        <v>140</v>
      </c>
      <c r="C97" t="s">
        <v>41</v>
      </c>
      <c r="D97" t="s">
        <v>12</v>
      </c>
      <c r="E97">
        <v>21</v>
      </c>
      <c r="F97">
        <v>2</v>
      </c>
      <c r="G97">
        <v>42</v>
      </c>
      <c r="H97" t="s">
        <v>28</v>
      </c>
      <c r="I97" t="s">
        <v>19</v>
      </c>
      <c r="J97" t="s">
        <v>25</v>
      </c>
      <c r="K97" s="15">
        <v>45116</v>
      </c>
      <c r="L97" s="15">
        <v>45119</v>
      </c>
      <c r="N97" t="s">
        <v>330</v>
      </c>
      <c r="O97" t="s">
        <v>218</v>
      </c>
      <c r="P97">
        <v>3</v>
      </c>
      <c r="Q97" t="s">
        <v>287</v>
      </c>
      <c r="R97" t="s">
        <v>332</v>
      </c>
      <c r="S97" t="s">
        <v>232</v>
      </c>
    </row>
    <row r="98" spans="1:19" x14ac:dyDescent="0.25">
      <c r="A98" t="s">
        <v>191</v>
      </c>
      <c r="B98" t="s">
        <v>77</v>
      </c>
      <c r="C98" t="s">
        <v>16</v>
      </c>
      <c r="D98" t="s">
        <v>33</v>
      </c>
      <c r="E98">
        <v>95</v>
      </c>
      <c r="F98">
        <v>5</v>
      </c>
      <c r="G98">
        <v>475</v>
      </c>
      <c r="H98" t="s">
        <v>28</v>
      </c>
      <c r="I98" t="s">
        <v>19</v>
      </c>
      <c r="J98" t="s">
        <v>27</v>
      </c>
      <c r="K98" s="15">
        <v>45283</v>
      </c>
      <c r="L98" s="15">
        <v>45286</v>
      </c>
      <c r="N98" t="s">
        <v>330</v>
      </c>
      <c r="O98" t="s">
        <v>203</v>
      </c>
      <c r="P98">
        <v>3</v>
      </c>
      <c r="Q98" t="s">
        <v>292</v>
      </c>
      <c r="R98" t="s">
        <v>332</v>
      </c>
      <c r="S98" t="s">
        <v>238</v>
      </c>
    </row>
    <row r="99" spans="1:19" x14ac:dyDescent="0.25">
      <c r="A99" t="s">
        <v>192</v>
      </c>
      <c r="B99" t="s">
        <v>60</v>
      </c>
      <c r="C99" t="s">
        <v>48</v>
      </c>
      <c r="D99" t="s">
        <v>21</v>
      </c>
      <c r="E99">
        <v>215</v>
      </c>
      <c r="F99">
        <v>2</v>
      </c>
      <c r="G99">
        <v>430</v>
      </c>
      <c r="H99" t="s">
        <v>24</v>
      </c>
      <c r="I99" t="s">
        <v>19</v>
      </c>
      <c r="J99" t="s">
        <v>27</v>
      </c>
      <c r="K99" s="15">
        <v>45194</v>
      </c>
      <c r="L99" s="15">
        <v>45199</v>
      </c>
      <c r="N99" t="s">
        <v>330</v>
      </c>
      <c r="O99" t="s">
        <v>206</v>
      </c>
      <c r="P99">
        <v>5</v>
      </c>
      <c r="Q99" t="s">
        <v>308</v>
      </c>
      <c r="R99" t="s">
        <v>332</v>
      </c>
      <c r="S99" t="s">
        <v>234</v>
      </c>
    </row>
    <row r="100" spans="1:19" x14ac:dyDescent="0.25">
      <c r="A100" t="s">
        <v>193</v>
      </c>
      <c r="B100" t="s">
        <v>194</v>
      </c>
      <c r="C100" t="s">
        <v>34</v>
      </c>
      <c r="D100" t="s">
        <v>33</v>
      </c>
      <c r="E100">
        <v>43</v>
      </c>
      <c r="F100">
        <v>5</v>
      </c>
      <c r="G100">
        <v>215</v>
      </c>
      <c r="H100" t="s">
        <v>18</v>
      </c>
      <c r="I100" t="s">
        <v>14</v>
      </c>
      <c r="J100" t="s">
        <v>25</v>
      </c>
      <c r="K100" s="15">
        <v>44944</v>
      </c>
      <c r="M100" s="15">
        <v>44950</v>
      </c>
      <c r="N100" t="s">
        <v>326</v>
      </c>
      <c r="O100" t="s">
        <v>211</v>
      </c>
      <c r="P100" t="s">
        <v>325</v>
      </c>
      <c r="Q100" t="s">
        <v>300</v>
      </c>
      <c r="R100" t="s">
        <v>325</v>
      </c>
      <c r="S100" t="s">
        <v>240</v>
      </c>
    </row>
    <row r="101" spans="1:19" x14ac:dyDescent="0.25">
      <c r="A101" t="s">
        <v>195</v>
      </c>
      <c r="B101" t="s">
        <v>64</v>
      </c>
      <c r="C101" t="s">
        <v>44</v>
      </c>
      <c r="D101" t="s">
        <v>33</v>
      </c>
      <c r="E101">
        <v>42</v>
      </c>
      <c r="F101">
        <v>4</v>
      </c>
      <c r="G101">
        <v>168</v>
      </c>
      <c r="H101" t="s">
        <v>31</v>
      </c>
      <c r="I101" t="s">
        <v>22</v>
      </c>
      <c r="J101" t="s">
        <v>15</v>
      </c>
      <c r="K101" s="15">
        <v>45012</v>
      </c>
      <c r="N101" t="s">
        <v>330</v>
      </c>
      <c r="O101" t="s">
        <v>203</v>
      </c>
      <c r="P101" t="s">
        <v>325</v>
      </c>
      <c r="Q101" t="s">
        <v>275</v>
      </c>
      <c r="R101" t="s">
        <v>325</v>
      </c>
      <c r="S101" t="s">
        <v>202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S101"/>
  <sheetViews>
    <sheetView tabSelected="1" topLeftCell="A2" zoomScale="78" zoomScaleNormal="78" workbookViewId="0">
      <selection activeCell="A2" sqref="A2:S101"/>
    </sheetView>
  </sheetViews>
  <sheetFormatPr defaultRowHeight="14.3" x14ac:dyDescent="0.25"/>
  <cols>
    <col min="1" max="1" width="10.125" customWidth="1"/>
    <col min="2" max="2" width="13.5" customWidth="1"/>
    <col min="3" max="3" width="12" customWidth="1"/>
    <col min="4" max="4" width="8.75" customWidth="1"/>
    <col min="5" max="5" width="15.25" customWidth="1"/>
    <col min="6" max="6" width="10.5" customWidth="1"/>
    <col min="7" max="7" width="14.5" customWidth="1"/>
    <col min="8" max="8" width="17.625" customWidth="1"/>
    <col min="9" max="9" width="15.625" customWidth="1"/>
    <col min="10" max="10" width="18.375" customWidth="1"/>
    <col min="11" max="11" width="12.25" customWidth="1"/>
    <col min="12" max="12" width="14.25" customWidth="1"/>
    <col min="13" max="13" width="12.75" customWidth="1"/>
    <col min="14" max="14" width="18.25" customWidth="1"/>
    <col min="15" max="15" width="17.5" customWidth="1"/>
    <col min="16" max="16" width="14.25" customWidth="1"/>
    <col min="17" max="17" width="16.375" customWidth="1"/>
    <col min="18" max="18" width="20.875" customWidth="1"/>
    <col min="19" max="19" width="16.125" bestFit="1" customWidth="1"/>
    <col min="20" max="20" width="16.5" bestFit="1" customWidth="1"/>
  </cols>
  <sheetData>
    <row r="1" spans="1:19" x14ac:dyDescent="0.25">
      <c r="A1" s="13" t="s">
        <v>51</v>
      </c>
      <c r="B1" s="1" t="s">
        <v>52</v>
      </c>
      <c r="C1" s="1" t="s">
        <v>0</v>
      </c>
      <c r="D1" s="1" t="s">
        <v>1</v>
      </c>
      <c r="E1" s="1" t="s">
        <v>2</v>
      </c>
      <c r="F1" s="1" t="s">
        <v>3</v>
      </c>
      <c r="G1" s="1" t="s">
        <v>4</v>
      </c>
      <c r="H1" s="1" t="s">
        <v>5</v>
      </c>
      <c r="I1" s="1" t="s">
        <v>6</v>
      </c>
      <c r="J1" s="1" t="s">
        <v>7</v>
      </c>
      <c r="K1" s="2" t="s">
        <v>8</v>
      </c>
      <c r="L1" s="2" t="s">
        <v>9</v>
      </c>
      <c r="M1" s="2" t="s">
        <v>10</v>
      </c>
      <c r="N1" s="3" t="s">
        <v>311</v>
      </c>
      <c r="O1" s="3" t="s">
        <v>312</v>
      </c>
      <c r="P1" s="3" t="s">
        <v>313</v>
      </c>
      <c r="Q1" s="3" t="s">
        <v>249</v>
      </c>
      <c r="R1" s="3" t="s">
        <v>314</v>
      </c>
      <c r="S1" s="3" t="s">
        <v>53</v>
      </c>
    </row>
    <row r="2" spans="1:19" x14ac:dyDescent="0.25">
      <c r="A2" s="13" t="s">
        <v>54</v>
      </c>
      <c r="B2" s="1" t="s">
        <v>55</v>
      </c>
      <c r="C2" s="1" t="s">
        <v>11</v>
      </c>
      <c r="D2" s="1" t="s">
        <v>12</v>
      </c>
      <c r="E2" s="1">
        <v>44</v>
      </c>
      <c r="F2" s="1">
        <v>1</v>
      </c>
      <c r="G2" s="1">
        <v>44</v>
      </c>
      <c r="H2" s="1" t="s">
        <v>13</v>
      </c>
      <c r="I2" s="1" t="s">
        <v>14</v>
      </c>
      <c r="J2" s="1" t="s">
        <v>15</v>
      </c>
      <c r="K2" s="2">
        <v>45291</v>
      </c>
      <c r="L2" s="2"/>
      <c r="M2" s="2">
        <v>45293</v>
      </c>
      <c r="N2" t="str">
        <f>IF(OR(I2="Cancelled",M2&lt;&gt;""),"Yes","No")</f>
        <v>Yes</v>
      </c>
      <c r="O2" t="str">
        <f>_xlfn.XLOOKUP(C2,'Product Master'!$A$2:$A$23,'Product Master'!$C$2:$C$23)</f>
        <v>Home</v>
      </c>
      <c r="P2" t="str">
        <f>IF(L2&lt;&gt;"",L2-K2,"NA")</f>
        <v>NA</v>
      </c>
      <c r="Q2" t="str">
        <f>_xlfn.XLOOKUP(B2,'Customer Master'!$A$2:$A$50,'Customer Master'!$B$2:$B$50)</f>
        <v>Zoe Mitchell</v>
      </c>
      <c r="R2" t="str" cm="1">
        <f t="array" ref="R2">_xlfn.IFS(P2="NA","NA",P2&lt;=2,"Fast",P2&gt;=2,"Slow")</f>
        <v>NA</v>
      </c>
      <c r="S2" t="str">
        <f>_xlfn.XLOOKUP(C2,'Product Master'!$A$2:$A$23,'Product Master'!$B$2:$B$23)</f>
        <v>Lamp</v>
      </c>
    </row>
    <row r="3" spans="1:19" x14ac:dyDescent="0.25">
      <c r="A3" s="13" t="s">
        <v>56</v>
      </c>
      <c r="B3" s="1" t="s">
        <v>57</v>
      </c>
      <c r="C3" s="1" t="s">
        <v>16</v>
      </c>
      <c r="D3" s="1" t="s">
        <v>17</v>
      </c>
      <c r="E3" s="1">
        <v>96</v>
      </c>
      <c r="F3" s="1">
        <v>4</v>
      </c>
      <c r="G3" s="1">
        <v>384</v>
      </c>
      <c r="H3" s="1" t="s">
        <v>18</v>
      </c>
      <c r="I3" s="1" t="s">
        <v>19</v>
      </c>
      <c r="J3" s="1" t="s">
        <v>15</v>
      </c>
      <c r="K3" s="2">
        <v>44979</v>
      </c>
      <c r="L3" s="2">
        <v>44981</v>
      </c>
      <c r="M3" s="2"/>
      <c r="N3" t="str">
        <f t="shared" ref="N3:N66" si="0">IF(OR(I3="Cancelled",M3&lt;&gt;""),"Yes","No")</f>
        <v>No</v>
      </c>
      <c r="O3" t="str">
        <f>_xlfn.XLOOKUP(C3,'Product Master'!$A$2:$A$23,'Product Master'!$C$2:$C$23)</f>
        <v>Toys</v>
      </c>
      <c r="P3">
        <f t="shared" ref="P3:P66" si="1">IF(L3&lt;&gt;"",L3-K3,"NA")</f>
        <v>2</v>
      </c>
      <c r="Q3" t="str">
        <f>_xlfn.XLOOKUP(B3,'Customer Master'!$A$2:$A$50,'Customer Master'!$B$2:$B$50)</f>
        <v>Ava White</v>
      </c>
      <c r="R3" t="str" cm="1">
        <f t="array" ref="R3">_xlfn.IFS(P3="NA","NA",P3&lt;=2,"Fast",P3&gt;=2,"Slow")</f>
        <v>Fast</v>
      </c>
      <c r="S3" t="str">
        <f>_xlfn.XLOOKUP(C3,'Product Master'!$A$2:$A$23,'Product Master'!$B$2:$B$23)</f>
        <v>Doll House</v>
      </c>
    </row>
    <row r="4" spans="1:19" x14ac:dyDescent="0.25">
      <c r="A4" s="13" t="s">
        <v>58</v>
      </c>
      <c r="B4" s="1" t="s">
        <v>55</v>
      </c>
      <c r="C4" s="1" t="s">
        <v>20</v>
      </c>
      <c r="D4" s="1" t="s">
        <v>21</v>
      </c>
      <c r="E4" s="1">
        <v>194</v>
      </c>
      <c r="F4" s="1">
        <v>4</v>
      </c>
      <c r="G4" s="1">
        <v>776</v>
      </c>
      <c r="H4" s="1" t="s">
        <v>18</v>
      </c>
      <c r="I4" s="1" t="s">
        <v>22</v>
      </c>
      <c r="J4" s="1" t="s">
        <v>23</v>
      </c>
      <c r="K4" s="2">
        <v>45210</v>
      </c>
      <c r="L4" s="2"/>
      <c r="M4" s="2"/>
      <c r="N4" t="str">
        <f t="shared" si="0"/>
        <v>No</v>
      </c>
      <c r="O4" t="str">
        <f>_xlfn.XLOOKUP(C4,'Product Master'!$A$2:$A$23,'Product Master'!$C$2:$C$23)</f>
        <v>Home</v>
      </c>
      <c r="P4" t="str">
        <f t="shared" si="1"/>
        <v>NA</v>
      </c>
      <c r="Q4" t="str">
        <f>_xlfn.XLOOKUP(B4,'Customer Master'!$A$2:$A$50,'Customer Master'!$B$2:$B$50)</f>
        <v>Zoe Mitchell</v>
      </c>
      <c r="R4" t="str" cm="1">
        <f t="array" ref="R4">_xlfn.IFS(P4="NA","NA",P4&lt;=2,"Fast",P4&gt;=2,"Slow")</f>
        <v>NA</v>
      </c>
      <c r="S4" t="str">
        <f>_xlfn.XLOOKUP(C4,'Product Master'!$A$2:$A$23,'Product Master'!$B$2:$B$23)</f>
        <v>Vacuum Cleaner</v>
      </c>
    </row>
    <row r="5" spans="1:19" x14ac:dyDescent="0.25">
      <c r="A5" s="13" t="s">
        <v>59</v>
      </c>
      <c r="B5" s="1" t="s">
        <v>60</v>
      </c>
      <c r="C5" s="1" t="s">
        <v>20</v>
      </c>
      <c r="D5" s="1" t="s">
        <v>12</v>
      </c>
      <c r="E5" s="1">
        <v>196</v>
      </c>
      <c r="F5" s="1">
        <v>3</v>
      </c>
      <c r="G5" s="1">
        <v>588</v>
      </c>
      <c r="H5" s="1" t="s">
        <v>24</v>
      </c>
      <c r="I5" s="1" t="s">
        <v>14</v>
      </c>
      <c r="J5" s="1" t="s">
        <v>25</v>
      </c>
      <c r="K5" s="2">
        <v>45051</v>
      </c>
      <c r="L5" s="2"/>
      <c r="M5" s="2">
        <v>45057</v>
      </c>
      <c r="N5" t="str">
        <f t="shared" si="0"/>
        <v>Yes</v>
      </c>
      <c r="O5" t="str">
        <f>_xlfn.XLOOKUP(C5,'Product Master'!$A$2:$A$23,'Product Master'!$C$2:$C$23)</f>
        <v>Home</v>
      </c>
      <c r="P5" t="str">
        <f t="shared" si="1"/>
        <v>NA</v>
      </c>
      <c r="Q5" t="str">
        <f>_xlfn.XLOOKUP(B5,'Customer Master'!$A$2:$A$50,'Customer Master'!$B$2:$B$50)</f>
        <v>Grace Ward</v>
      </c>
      <c r="R5" t="str" cm="1">
        <f t="array" ref="R5">_xlfn.IFS(P5="NA","NA",P5&lt;=2,"Fast",P5&gt;=2,"Slow")</f>
        <v>NA</v>
      </c>
      <c r="S5" t="str">
        <f>_xlfn.XLOOKUP(C5,'Product Master'!$A$2:$A$23,'Product Master'!$B$2:$B$23)</f>
        <v>Vacuum Cleaner</v>
      </c>
    </row>
    <row r="6" spans="1:19" x14ac:dyDescent="0.25">
      <c r="A6" s="13" t="s">
        <v>61</v>
      </c>
      <c r="B6" s="1" t="s">
        <v>62</v>
      </c>
      <c r="C6" s="1" t="s">
        <v>26</v>
      </c>
      <c r="D6" s="1" t="s">
        <v>12</v>
      </c>
      <c r="E6" s="1">
        <v>59</v>
      </c>
      <c r="F6" s="1">
        <v>1</v>
      </c>
      <c r="G6" s="1">
        <v>59</v>
      </c>
      <c r="H6" s="1" t="s">
        <v>24</v>
      </c>
      <c r="I6" s="1" t="s">
        <v>19</v>
      </c>
      <c r="J6" s="1" t="s">
        <v>27</v>
      </c>
      <c r="K6" s="2">
        <v>44959</v>
      </c>
      <c r="L6" s="2">
        <v>44962</v>
      </c>
      <c r="M6" s="2"/>
      <c r="N6" t="str">
        <f t="shared" si="0"/>
        <v>No</v>
      </c>
      <c r="O6" t="str">
        <f>_xlfn.XLOOKUP(C6,'Product Master'!$A$2:$A$23,'Product Master'!$C$2:$C$23)</f>
        <v>Fashion</v>
      </c>
      <c r="P6">
        <f t="shared" si="1"/>
        <v>3</v>
      </c>
      <c r="Q6" t="str">
        <f>_xlfn.XLOOKUP(B6,'Customer Master'!$A$2:$A$50,'Customer Master'!$B$2:$B$50)</f>
        <v>Hazel Brooks</v>
      </c>
      <c r="R6" t="str" cm="1">
        <f t="array" ref="R6">_xlfn.IFS(P6="NA","NA",P6&lt;=2,"Fast",P6&gt;=2,"Slow")</f>
        <v>Slow</v>
      </c>
      <c r="S6" t="str">
        <f>_xlfn.XLOOKUP(C6,'Product Master'!$A$2:$A$23,'Product Master'!$B$2:$B$23)</f>
        <v>Jeans</v>
      </c>
    </row>
    <row r="7" spans="1:19" x14ac:dyDescent="0.25">
      <c r="A7" s="13" t="s">
        <v>63</v>
      </c>
      <c r="B7" s="1" t="s">
        <v>64</v>
      </c>
      <c r="C7" s="1" t="s">
        <v>26</v>
      </c>
      <c r="D7" s="1" t="s">
        <v>12</v>
      </c>
      <c r="E7" s="1">
        <v>58</v>
      </c>
      <c r="F7" s="1">
        <v>4</v>
      </c>
      <c r="G7" s="1">
        <v>232</v>
      </c>
      <c r="H7" s="1" t="s">
        <v>28</v>
      </c>
      <c r="I7" s="1" t="s">
        <v>14</v>
      </c>
      <c r="J7" s="1" t="s">
        <v>15</v>
      </c>
      <c r="K7" s="2">
        <v>45231</v>
      </c>
      <c r="L7" s="2"/>
      <c r="M7" s="2">
        <v>45232</v>
      </c>
      <c r="N7" t="str">
        <f t="shared" si="0"/>
        <v>Yes</v>
      </c>
      <c r="O7" t="str">
        <f>_xlfn.XLOOKUP(C7,'Product Master'!$A$2:$A$23,'Product Master'!$C$2:$C$23)</f>
        <v>Fashion</v>
      </c>
      <c r="P7" t="str">
        <f t="shared" si="1"/>
        <v>NA</v>
      </c>
      <c r="Q7" t="str">
        <f>_xlfn.XLOOKUP(B7,'Customer Master'!$A$2:$A$50,'Customer Master'!$B$2:$B$50)</f>
        <v>Jackson Allen</v>
      </c>
      <c r="R7" t="str" cm="1">
        <f t="array" ref="R7">_xlfn.IFS(P7="NA","NA",P7&lt;=2,"Fast",P7&gt;=2,"Slow")</f>
        <v>NA</v>
      </c>
      <c r="S7" t="str">
        <f>_xlfn.XLOOKUP(C7,'Product Master'!$A$2:$A$23,'Product Master'!$B$2:$B$23)</f>
        <v>Jeans</v>
      </c>
    </row>
    <row r="8" spans="1:19" x14ac:dyDescent="0.25">
      <c r="A8" s="13" t="s">
        <v>65</v>
      </c>
      <c r="B8" s="1" t="s">
        <v>66</v>
      </c>
      <c r="C8" s="1" t="s">
        <v>29</v>
      </c>
      <c r="D8" s="1" t="s">
        <v>30</v>
      </c>
      <c r="E8" s="1">
        <v>105</v>
      </c>
      <c r="F8" s="1">
        <v>3</v>
      </c>
      <c r="G8" s="1">
        <v>315</v>
      </c>
      <c r="H8" s="1" t="s">
        <v>31</v>
      </c>
      <c r="I8" s="1" t="s">
        <v>14</v>
      </c>
      <c r="J8" s="1" t="s">
        <v>15</v>
      </c>
      <c r="K8" s="2">
        <v>45152</v>
      </c>
      <c r="L8" s="2"/>
      <c r="M8" s="2">
        <v>45156</v>
      </c>
      <c r="N8" t="str">
        <f t="shared" si="0"/>
        <v>Yes</v>
      </c>
      <c r="O8" t="str">
        <f>_xlfn.XLOOKUP(C8,'Product Master'!$A$2:$A$23,'Product Master'!$C$2:$C$23)</f>
        <v>Electronics</v>
      </c>
      <c r="P8" t="str">
        <f t="shared" si="1"/>
        <v>NA</v>
      </c>
      <c r="Q8" t="str">
        <f>_xlfn.XLOOKUP(B8,'Customer Master'!$A$2:$A$50,'Customer Master'!$B$2:$B$50)</f>
        <v>Noah Wilson</v>
      </c>
      <c r="R8" t="str" cm="1">
        <f t="array" ref="R8">_xlfn.IFS(P8="NA","NA",P8&lt;=2,"Fast",P8&gt;=2,"Slow")</f>
        <v>NA</v>
      </c>
      <c r="S8" t="str">
        <f>_xlfn.XLOOKUP(C8,'Product Master'!$A$2:$A$23,'Product Master'!$B$2:$B$23)</f>
        <v>Bluetooth Speaker</v>
      </c>
    </row>
    <row r="9" spans="1:19" x14ac:dyDescent="0.25">
      <c r="A9" s="13" t="s">
        <v>67</v>
      </c>
      <c r="B9" s="1" t="s">
        <v>68</v>
      </c>
      <c r="C9" s="1" t="s">
        <v>32</v>
      </c>
      <c r="D9" s="1" t="s">
        <v>33</v>
      </c>
      <c r="E9" s="1">
        <v>37</v>
      </c>
      <c r="F9" s="1">
        <v>5</v>
      </c>
      <c r="G9" s="1">
        <v>185</v>
      </c>
      <c r="H9" s="1" t="s">
        <v>24</v>
      </c>
      <c r="I9" s="1" t="s">
        <v>14</v>
      </c>
      <c r="J9" s="1" t="s">
        <v>15</v>
      </c>
      <c r="K9" s="2">
        <v>45017</v>
      </c>
      <c r="L9" s="2"/>
      <c r="M9" s="2">
        <v>45022</v>
      </c>
      <c r="N9" t="str">
        <f t="shared" si="0"/>
        <v>Yes</v>
      </c>
      <c r="O9" t="str">
        <f>_xlfn.XLOOKUP(C9,'Product Master'!$A$2:$A$23,'Product Master'!$C$2:$C$23)</f>
        <v>Home</v>
      </c>
      <c r="P9" t="str">
        <f t="shared" si="1"/>
        <v>NA</v>
      </c>
      <c r="Q9" t="str">
        <f>_xlfn.XLOOKUP(B9,'Customer Master'!$A$2:$A$50,'Customer Master'!$B$2:$B$50)</f>
        <v>Ava Robinson</v>
      </c>
      <c r="R9" t="str" cm="1">
        <f t="array" ref="R9">_xlfn.IFS(P9="NA","NA",P9&lt;=2,"Fast",P9&gt;=2,"Slow")</f>
        <v>NA</v>
      </c>
      <c r="S9" t="str">
        <f>_xlfn.XLOOKUP(C9,'Product Master'!$A$2:$A$23,'Product Master'!$B$2:$B$23)</f>
        <v>Wall Clock</v>
      </c>
    </row>
    <row r="10" spans="1:19" x14ac:dyDescent="0.25">
      <c r="A10" s="13" t="s">
        <v>69</v>
      </c>
      <c r="B10" s="1" t="s">
        <v>70</v>
      </c>
      <c r="C10" s="1" t="s">
        <v>34</v>
      </c>
      <c r="D10" s="1" t="s">
        <v>30</v>
      </c>
      <c r="E10" s="1">
        <v>44</v>
      </c>
      <c r="F10" s="1">
        <v>2</v>
      </c>
      <c r="G10" s="1">
        <v>88</v>
      </c>
      <c r="H10" s="1" t="s">
        <v>18</v>
      </c>
      <c r="I10" s="1" t="s">
        <v>22</v>
      </c>
      <c r="J10" s="1" t="s">
        <v>27</v>
      </c>
      <c r="K10" s="2">
        <v>45128</v>
      </c>
      <c r="L10" s="2"/>
      <c r="M10" s="2"/>
      <c r="N10" t="str">
        <f t="shared" si="0"/>
        <v>No</v>
      </c>
      <c r="O10" t="str">
        <f>_xlfn.XLOOKUP(C10,'Product Master'!$A$2:$A$23,'Product Master'!$C$2:$C$23)</f>
        <v>Fashion</v>
      </c>
      <c r="P10" t="str">
        <f t="shared" si="1"/>
        <v>NA</v>
      </c>
      <c r="Q10" t="str">
        <f>_xlfn.XLOOKUP(B10,'Customer Master'!$A$2:$A$50,'Customer Master'!$B$2:$B$50)</f>
        <v>Olivia Martinez</v>
      </c>
      <c r="R10" t="str" cm="1">
        <f t="array" ref="R10">_xlfn.IFS(P10="NA","NA",P10&lt;=2,"Fast",P10&gt;=2,"Slow")</f>
        <v>NA</v>
      </c>
      <c r="S10" t="str">
        <f>_xlfn.XLOOKUP(C10,'Product Master'!$A$2:$A$23,'Product Master'!$B$2:$B$23)</f>
        <v>Formal Shirt</v>
      </c>
    </row>
    <row r="11" spans="1:19" x14ac:dyDescent="0.25">
      <c r="A11" s="13" t="s">
        <v>71</v>
      </c>
      <c r="B11" s="1" t="s">
        <v>68</v>
      </c>
      <c r="C11" s="1" t="s">
        <v>35</v>
      </c>
      <c r="D11" s="1" t="s">
        <v>21</v>
      </c>
      <c r="E11" s="1">
        <v>141</v>
      </c>
      <c r="F11" s="1">
        <v>4</v>
      </c>
      <c r="G11" s="1">
        <v>564</v>
      </c>
      <c r="H11" s="1" t="s">
        <v>31</v>
      </c>
      <c r="I11" s="1" t="s">
        <v>22</v>
      </c>
      <c r="J11" s="1" t="s">
        <v>15</v>
      </c>
      <c r="K11" s="2">
        <v>45289</v>
      </c>
      <c r="L11" s="2"/>
      <c r="M11" s="2"/>
      <c r="N11" t="str">
        <f t="shared" si="0"/>
        <v>No</v>
      </c>
      <c r="O11" t="str">
        <f>_xlfn.XLOOKUP(C11,'Product Master'!$A$2:$A$23,'Product Master'!$C$2:$C$23)</f>
        <v>Home</v>
      </c>
      <c r="P11" t="str">
        <f t="shared" si="1"/>
        <v>NA</v>
      </c>
      <c r="Q11" t="str">
        <f>_xlfn.XLOOKUP(B11,'Customer Master'!$A$2:$A$50,'Customer Master'!$B$2:$B$50)</f>
        <v>Ava Robinson</v>
      </c>
      <c r="R11" t="str" cm="1">
        <f t="array" ref="R11">_xlfn.IFS(P11="NA","NA",P11&lt;=2,"Fast",P11&gt;=2,"Slow")</f>
        <v>NA</v>
      </c>
      <c r="S11" t="str">
        <f>_xlfn.XLOOKUP(C11,'Product Master'!$A$2:$A$23,'Product Master'!$B$2:$B$23)</f>
        <v>Cookware Set</v>
      </c>
    </row>
    <row r="12" spans="1:19" x14ac:dyDescent="0.25">
      <c r="A12" s="13" t="s">
        <v>72</v>
      </c>
      <c r="B12" s="1" t="s">
        <v>73</v>
      </c>
      <c r="C12" s="1" t="s">
        <v>36</v>
      </c>
      <c r="D12" s="1" t="s">
        <v>21</v>
      </c>
      <c r="E12" s="1">
        <v>249</v>
      </c>
      <c r="F12" s="1">
        <v>1</v>
      </c>
      <c r="G12" s="1">
        <v>249</v>
      </c>
      <c r="H12" s="1" t="s">
        <v>28</v>
      </c>
      <c r="I12" s="1" t="s">
        <v>14</v>
      </c>
      <c r="J12" s="1" t="s">
        <v>23</v>
      </c>
      <c r="K12" s="2">
        <v>45050</v>
      </c>
      <c r="L12" s="2"/>
      <c r="M12" s="2">
        <v>45054</v>
      </c>
      <c r="N12" t="str">
        <f t="shared" si="0"/>
        <v>Yes</v>
      </c>
      <c r="O12" t="str">
        <f>_xlfn.XLOOKUP(C12,'Product Master'!$A$2:$A$23,'Product Master'!$C$2:$C$23)</f>
        <v>Electronics</v>
      </c>
      <c r="P12" t="str">
        <f t="shared" si="1"/>
        <v>NA</v>
      </c>
      <c r="Q12" t="str">
        <f>_xlfn.XLOOKUP(B12,'Customer Master'!$A$2:$A$50,'Customer Master'!$B$2:$B$50)</f>
        <v>Emily Johnson</v>
      </c>
      <c r="R12" t="str" cm="1">
        <f t="array" ref="R12">_xlfn.IFS(P12="NA","NA",P12&lt;=2,"Fast",P12&gt;=2,"Slow")</f>
        <v>NA</v>
      </c>
      <c r="S12" t="str">
        <f>_xlfn.XLOOKUP(C12,'Product Master'!$A$2:$A$23,'Product Master'!$B$2:$B$23)</f>
        <v>Smartwatch</v>
      </c>
    </row>
    <row r="13" spans="1:19" x14ac:dyDescent="0.25">
      <c r="A13" s="13" t="s">
        <v>74</v>
      </c>
      <c r="B13" s="1" t="s">
        <v>75</v>
      </c>
      <c r="C13" s="1" t="s">
        <v>36</v>
      </c>
      <c r="D13" s="1" t="s">
        <v>30</v>
      </c>
      <c r="E13" s="1">
        <v>247</v>
      </c>
      <c r="F13" s="1">
        <v>3</v>
      </c>
      <c r="G13" s="1">
        <v>741</v>
      </c>
      <c r="H13" s="1" t="s">
        <v>28</v>
      </c>
      <c r="I13" s="1" t="s">
        <v>22</v>
      </c>
      <c r="J13" s="1" t="s">
        <v>37</v>
      </c>
      <c r="K13" s="2">
        <v>45132</v>
      </c>
      <c r="L13" s="2"/>
      <c r="M13" s="2"/>
      <c r="N13" t="str">
        <f t="shared" si="0"/>
        <v>No</v>
      </c>
      <c r="O13" t="str">
        <f>_xlfn.XLOOKUP(C13,'Product Master'!$A$2:$A$23,'Product Master'!$C$2:$C$23)</f>
        <v>Electronics</v>
      </c>
      <c r="P13" t="str">
        <f t="shared" si="1"/>
        <v>NA</v>
      </c>
      <c r="Q13" t="str">
        <f>_xlfn.XLOOKUP(B13,'Customer Master'!$A$2:$A$50,'Customer Master'!$B$2:$B$50)</f>
        <v>Emily Johnson</v>
      </c>
      <c r="R13" t="str" cm="1">
        <f t="array" ref="R13">_xlfn.IFS(P13="NA","NA",P13&lt;=2,"Fast",P13&gt;=2,"Slow")</f>
        <v>NA</v>
      </c>
      <c r="S13" t="str">
        <f>_xlfn.XLOOKUP(C13,'Product Master'!$A$2:$A$23,'Product Master'!$B$2:$B$23)</f>
        <v>Smartwatch</v>
      </c>
    </row>
    <row r="14" spans="1:19" x14ac:dyDescent="0.25">
      <c r="A14" s="13" t="s">
        <v>76</v>
      </c>
      <c r="B14" s="1" t="s">
        <v>77</v>
      </c>
      <c r="C14" s="1" t="s">
        <v>38</v>
      </c>
      <c r="D14" s="1" t="s">
        <v>30</v>
      </c>
      <c r="E14" s="1">
        <v>96</v>
      </c>
      <c r="F14" s="1">
        <v>1</v>
      </c>
      <c r="G14" s="1">
        <v>96</v>
      </c>
      <c r="H14" s="1" t="s">
        <v>13</v>
      </c>
      <c r="I14" s="1" t="s">
        <v>14</v>
      </c>
      <c r="J14" s="1" t="s">
        <v>27</v>
      </c>
      <c r="K14" s="2">
        <v>44982</v>
      </c>
      <c r="L14" s="2"/>
      <c r="M14" s="2">
        <v>44985</v>
      </c>
      <c r="N14" t="str">
        <f t="shared" si="0"/>
        <v>Yes</v>
      </c>
      <c r="O14" t="str">
        <f>_xlfn.XLOOKUP(C14,'Product Master'!$A$2:$A$23,'Product Master'!$C$2:$C$23)</f>
        <v>Fashion</v>
      </c>
      <c r="P14" t="str">
        <f t="shared" si="1"/>
        <v>NA</v>
      </c>
      <c r="Q14" t="str">
        <f>_xlfn.XLOOKUP(B14,'Customer Master'!$A$2:$A$50,'Customer Master'!$B$2:$B$50)</f>
        <v>Charlotte Reed</v>
      </c>
      <c r="R14" t="str" cm="1">
        <f t="array" ref="R14">_xlfn.IFS(P14="NA","NA",P14&lt;=2,"Fast",P14&gt;=2,"Slow")</f>
        <v>NA</v>
      </c>
      <c r="S14" t="str">
        <f>_xlfn.XLOOKUP(C14,'Product Master'!$A$2:$A$23,'Product Master'!$B$2:$B$23)</f>
        <v>Shoes</v>
      </c>
    </row>
    <row r="15" spans="1:19" x14ac:dyDescent="0.25">
      <c r="A15" s="13" t="s">
        <v>78</v>
      </c>
      <c r="B15" s="1" t="s">
        <v>79</v>
      </c>
      <c r="C15" s="1" t="s">
        <v>39</v>
      </c>
      <c r="D15" s="1" t="s">
        <v>33</v>
      </c>
      <c r="E15" s="1">
        <v>74</v>
      </c>
      <c r="F15" s="1">
        <v>5</v>
      </c>
      <c r="G15" s="1">
        <v>370</v>
      </c>
      <c r="H15" s="1" t="s">
        <v>13</v>
      </c>
      <c r="I15" s="1" t="s">
        <v>14</v>
      </c>
      <c r="J15" s="1" t="s">
        <v>27</v>
      </c>
      <c r="K15" s="2">
        <v>44981</v>
      </c>
      <c r="L15" s="2"/>
      <c r="M15" s="2">
        <v>44982</v>
      </c>
      <c r="N15" t="str">
        <f t="shared" si="0"/>
        <v>Yes</v>
      </c>
      <c r="O15" t="str">
        <f>_xlfn.XLOOKUP(C15,'Product Master'!$A$2:$A$23,'Product Master'!$C$2:$C$23)</f>
        <v>Electronics</v>
      </c>
      <c r="P15" t="str">
        <f t="shared" si="1"/>
        <v>NA</v>
      </c>
      <c r="Q15" t="str">
        <f>_xlfn.XLOOKUP(B15,'Customer Master'!$A$2:$A$50,'Customer Master'!$B$2:$B$50)</f>
        <v>Hazel Rivera</v>
      </c>
      <c r="R15" t="str" cm="1">
        <f t="array" ref="R15">_xlfn.IFS(P15="NA","NA",P15&lt;=2,"Fast",P15&gt;=2,"Slow")</f>
        <v>NA</v>
      </c>
      <c r="S15" t="str">
        <f>_xlfn.XLOOKUP(C15,'Product Master'!$A$2:$A$23,'Product Master'!$B$2:$B$23)</f>
        <v>Gaming Mouse</v>
      </c>
    </row>
    <row r="16" spans="1:19" x14ac:dyDescent="0.25">
      <c r="A16" s="13" t="s">
        <v>80</v>
      </c>
      <c r="B16" s="1" t="s">
        <v>79</v>
      </c>
      <c r="C16" s="1" t="s">
        <v>40</v>
      </c>
      <c r="D16" s="1" t="s">
        <v>21</v>
      </c>
      <c r="E16" s="1">
        <v>27</v>
      </c>
      <c r="F16" s="1">
        <v>1</v>
      </c>
      <c r="G16" s="1">
        <v>27</v>
      </c>
      <c r="H16" s="1" t="s">
        <v>18</v>
      </c>
      <c r="I16" s="1" t="s">
        <v>14</v>
      </c>
      <c r="J16" s="1" t="s">
        <v>27</v>
      </c>
      <c r="K16" s="2">
        <v>45164</v>
      </c>
      <c r="L16" s="2"/>
      <c r="M16" s="2">
        <v>45171</v>
      </c>
      <c r="N16" t="str">
        <f t="shared" si="0"/>
        <v>Yes</v>
      </c>
      <c r="O16" t="str">
        <f>_xlfn.XLOOKUP(C16,'Product Master'!$A$2:$A$23,'Product Master'!$C$2:$C$23)</f>
        <v>Fashion</v>
      </c>
      <c r="P16" t="str">
        <f t="shared" si="1"/>
        <v>NA</v>
      </c>
      <c r="Q16" t="str">
        <f>_xlfn.XLOOKUP(B16,'Customer Master'!$A$2:$A$50,'Customer Master'!$B$2:$B$50)</f>
        <v>Hazel Rivera</v>
      </c>
      <c r="R16" t="str" cm="1">
        <f t="array" ref="R16">_xlfn.IFS(P16="NA","NA",P16&lt;=2,"Fast",P16&gt;=2,"Slow")</f>
        <v>NA</v>
      </c>
      <c r="S16" t="str">
        <f>_xlfn.XLOOKUP(C16,'Product Master'!$A$2:$A$23,'Product Master'!$B$2:$B$23)</f>
        <v>T-Shirt</v>
      </c>
    </row>
    <row r="17" spans="1:19" x14ac:dyDescent="0.25">
      <c r="A17" s="13" t="s">
        <v>81</v>
      </c>
      <c r="B17" s="1" t="s">
        <v>82</v>
      </c>
      <c r="C17" s="1" t="s">
        <v>40</v>
      </c>
      <c r="D17" s="1" t="s">
        <v>21</v>
      </c>
      <c r="E17" s="1">
        <v>27</v>
      </c>
      <c r="F17" s="1">
        <v>3</v>
      </c>
      <c r="G17" s="1">
        <v>81</v>
      </c>
      <c r="H17" s="1" t="s">
        <v>31</v>
      </c>
      <c r="I17" s="1" t="s">
        <v>22</v>
      </c>
      <c r="J17" s="1" t="s">
        <v>27</v>
      </c>
      <c r="K17" s="2">
        <v>44970</v>
      </c>
      <c r="L17" s="2"/>
      <c r="M17" s="2"/>
      <c r="N17" t="str">
        <f t="shared" si="0"/>
        <v>No</v>
      </c>
      <c r="O17" t="str">
        <f>_xlfn.XLOOKUP(C17,'Product Master'!$A$2:$A$23,'Product Master'!$C$2:$C$23)</f>
        <v>Fashion</v>
      </c>
      <c r="P17" t="str">
        <f t="shared" si="1"/>
        <v>NA</v>
      </c>
      <c r="Q17" t="str">
        <f>_xlfn.XLOOKUP(B17,'Customer Master'!$A$2:$A$50,'Customer Master'!$B$2:$B$50)</f>
        <v>Scarlett Murphy</v>
      </c>
      <c r="R17" t="str" cm="1">
        <f t="array" ref="R17">_xlfn.IFS(P17="NA","NA",P17&lt;=2,"Fast",P17&gt;=2,"Slow")</f>
        <v>NA</v>
      </c>
      <c r="S17" t="str">
        <f>_xlfn.XLOOKUP(C17,'Product Master'!$A$2:$A$23,'Product Master'!$B$2:$B$23)</f>
        <v>T-Shirt</v>
      </c>
    </row>
    <row r="18" spans="1:19" x14ac:dyDescent="0.25">
      <c r="A18" s="13" t="s">
        <v>83</v>
      </c>
      <c r="B18" s="1" t="s">
        <v>75</v>
      </c>
      <c r="C18" s="1" t="s">
        <v>41</v>
      </c>
      <c r="D18" s="1" t="s">
        <v>17</v>
      </c>
      <c r="E18" s="1">
        <v>21</v>
      </c>
      <c r="F18" s="1">
        <v>3</v>
      </c>
      <c r="G18" s="1">
        <v>63</v>
      </c>
      <c r="H18" s="1" t="s">
        <v>18</v>
      </c>
      <c r="I18" s="1" t="s">
        <v>19</v>
      </c>
      <c r="J18" s="1" t="s">
        <v>15</v>
      </c>
      <c r="K18" s="2">
        <v>45105</v>
      </c>
      <c r="L18" s="2">
        <v>45108</v>
      </c>
      <c r="M18" s="2"/>
      <c r="N18" t="str">
        <f t="shared" si="0"/>
        <v>No</v>
      </c>
      <c r="O18" t="str">
        <f>_xlfn.XLOOKUP(C18,'Product Master'!$A$2:$A$23,'Product Master'!$C$2:$C$23)</f>
        <v>Books</v>
      </c>
      <c r="P18">
        <f t="shared" si="1"/>
        <v>3</v>
      </c>
      <c r="Q18" t="str">
        <f>_xlfn.XLOOKUP(B18,'Customer Master'!$A$2:$A$50,'Customer Master'!$B$2:$B$50)</f>
        <v>Emily Johnson</v>
      </c>
      <c r="R18" t="str" cm="1">
        <f t="array" ref="R18">_xlfn.IFS(P18="NA","NA",P18&lt;=2,"Fast",P18&gt;=2,"Slow")</f>
        <v>Slow</v>
      </c>
      <c r="S18" t="str">
        <f>_xlfn.XLOOKUP(C18,'Product Master'!$A$2:$A$23,'Product Master'!$B$2:$B$23)</f>
        <v>Novel</v>
      </c>
    </row>
    <row r="19" spans="1:19" x14ac:dyDescent="0.25">
      <c r="A19" s="13" t="s">
        <v>84</v>
      </c>
      <c r="B19" s="1" t="s">
        <v>85</v>
      </c>
      <c r="C19" s="1" t="s">
        <v>42</v>
      </c>
      <c r="D19" s="1" t="s">
        <v>33</v>
      </c>
      <c r="E19" s="1">
        <v>70</v>
      </c>
      <c r="F19" s="1">
        <v>5</v>
      </c>
      <c r="G19" s="1">
        <v>350</v>
      </c>
      <c r="H19" s="1" t="s">
        <v>24</v>
      </c>
      <c r="I19" s="1" t="s">
        <v>22</v>
      </c>
      <c r="J19" s="1" t="s">
        <v>27</v>
      </c>
      <c r="K19" s="2">
        <v>45258</v>
      </c>
      <c r="L19" s="2"/>
      <c r="M19" s="2"/>
      <c r="N19" t="str">
        <f t="shared" si="0"/>
        <v>No</v>
      </c>
      <c r="O19" t="str">
        <f>_xlfn.XLOOKUP(C19,'Product Master'!$A$2:$A$23,'Product Master'!$C$2:$C$23)</f>
        <v>Books</v>
      </c>
      <c r="P19" t="str">
        <f t="shared" si="1"/>
        <v>NA</v>
      </c>
      <c r="Q19" t="str">
        <f>_xlfn.XLOOKUP(B19,'Customer Master'!$A$2:$A$50,'Customer Master'!$B$2:$B$50)</f>
        <v>Mason Hall</v>
      </c>
      <c r="R19" t="str" cm="1">
        <f t="array" ref="R19">_xlfn.IFS(P19="NA","NA",P19&lt;=2,"Fast",P19&gt;=2,"Slow")</f>
        <v>NA</v>
      </c>
      <c r="S19" t="str">
        <f>_xlfn.XLOOKUP(C19,'Product Master'!$A$2:$A$23,'Product Master'!$B$2:$B$23)</f>
        <v>Textbook</v>
      </c>
    </row>
    <row r="20" spans="1:19" x14ac:dyDescent="0.25">
      <c r="A20" s="13" t="s">
        <v>86</v>
      </c>
      <c r="B20" s="1" t="s">
        <v>87</v>
      </c>
      <c r="C20" s="1" t="s">
        <v>38</v>
      </c>
      <c r="D20" s="1" t="s">
        <v>21</v>
      </c>
      <c r="E20" s="1">
        <v>94</v>
      </c>
      <c r="F20" s="1">
        <v>4</v>
      </c>
      <c r="G20" s="1">
        <v>376</v>
      </c>
      <c r="H20" s="1" t="s">
        <v>18</v>
      </c>
      <c r="I20" s="1" t="s">
        <v>22</v>
      </c>
      <c r="J20" s="1" t="s">
        <v>23</v>
      </c>
      <c r="K20" s="2">
        <v>45163</v>
      </c>
      <c r="L20" s="2"/>
      <c r="M20" s="2"/>
      <c r="N20" t="str">
        <f t="shared" si="0"/>
        <v>No</v>
      </c>
      <c r="O20" t="str">
        <f>_xlfn.XLOOKUP(C20,'Product Master'!$A$2:$A$23,'Product Master'!$C$2:$C$23)</f>
        <v>Fashion</v>
      </c>
      <c r="P20" t="str">
        <f t="shared" si="1"/>
        <v>NA</v>
      </c>
      <c r="Q20" t="str">
        <f>_xlfn.XLOOKUP(B20,'Customer Master'!$A$2:$A$50,'Customer Master'!$B$2:$B$50)</f>
        <v>Jacob Price</v>
      </c>
      <c r="R20" t="str" cm="1">
        <f t="array" ref="R20">_xlfn.IFS(P20="NA","NA",P20&lt;=2,"Fast",P20&gt;=2,"Slow")</f>
        <v>NA</v>
      </c>
      <c r="S20" t="str">
        <f>_xlfn.XLOOKUP(C20,'Product Master'!$A$2:$A$23,'Product Master'!$B$2:$B$23)</f>
        <v>Shoes</v>
      </c>
    </row>
    <row r="21" spans="1:19" x14ac:dyDescent="0.25">
      <c r="A21" s="13" t="s">
        <v>88</v>
      </c>
      <c r="B21" s="1" t="s">
        <v>89</v>
      </c>
      <c r="C21" s="1" t="s">
        <v>43</v>
      </c>
      <c r="D21" s="1" t="s">
        <v>12</v>
      </c>
      <c r="E21" s="1">
        <v>813</v>
      </c>
      <c r="F21" s="1">
        <v>2</v>
      </c>
      <c r="G21" s="1">
        <v>1626</v>
      </c>
      <c r="H21" s="1" t="s">
        <v>18</v>
      </c>
      <c r="I21" s="1" t="s">
        <v>22</v>
      </c>
      <c r="J21" s="1" t="s">
        <v>37</v>
      </c>
      <c r="K21" s="2">
        <v>45028</v>
      </c>
      <c r="L21" s="2"/>
      <c r="M21" s="2"/>
      <c r="N21" t="str">
        <f t="shared" si="0"/>
        <v>No</v>
      </c>
      <c r="O21" t="str">
        <f>_xlfn.XLOOKUP(C21,'Product Master'!$A$2:$A$23,'Product Master'!$C$2:$C$23)</f>
        <v>Electronics</v>
      </c>
      <c r="P21" t="str">
        <f t="shared" si="1"/>
        <v>NA</v>
      </c>
      <c r="Q21" t="str">
        <f>_xlfn.XLOOKUP(B21,'Customer Master'!$A$2:$A$50,'Customer Master'!$B$2:$B$50)</f>
        <v>Emma King</v>
      </c>
      <c r="R21" t="str" cm="1">
        <f t="array" ref="R21">_xlfn.IFS(P21="NA","NA",P21&lt;=2,"Fast",P21&gt;=2,"Slow")</f>
        <v>NA</v>
      </c>
      <c r="S21" t="str">
        <f>_xlfn.XLOOKUP(C21,'Product Master'!$A$2:$A$23,'Product Master'!$B$2:$B$23)</f>
        <v>Smartphone</v>
      </c>
    </row>
    <row r="22" spans="1:19" x14ac:dyDescent="0.25">
      <c r="A22" s="13" t="s">
        <v>90</v>
      </c>
      <c r="B22" s="1" t="s">
        <v>70</v>
      </c>
      <c r="C22" s="1" t="s">
        <v>41</v>
      </c>
      <c r="D22" s="1" t="s">
        <v>30</v>
      </c>
      <c r="E22" s="1">
        <v>21</v>
      </c>
      <c r="F22" s="1">
        <v>4</v>
      </c>
      <c r="G22" s="1">
        <v>84</v>
      </c>
      <c r="H22" s="1" t="s">
        <v>24</v>
      </c>
      <c r="I22" s="1" t="s">
        <v>22</v>
      </c>
      <c r="J22" s="1" t="s">
        <v>27</v>
      </c>
      <c r="K22" s="2">
        <v>45201</v>
      </c>
      <c r="L22" s="2"/>
      <c r="M22" s="2"/>
      <c r="N22" t="str">
        <f t="shared" si="0"/>
        <v>No</v>
      </c>
      <c r="O22" t="str">
        <f>_xlfn.XLOOKUP(C22,'Product Master'!$A$2:$A$23,'Product Master'!$C$2:$C$23)</f>
        <v>Books</v>
      </c>
      <c r="P22" t="str">
        <f t="shared" si="1"/>
        <v>NA</v>
      </c>
      <c r="Q22" t="str">
        <f>_xlfn.XLOOKUP(B22,'Customer Master'!$A$2:$A$50,'Customer Master'!$B$2:$B$50)</f>
        <v>Olivia Martinez</v>
      </c>
      <c r="R22" t="str" cm="1">
        <f t="array" ref="R22">_xlfn.IFS(P22="NA","NA",P22&lt;=2,"Fast",P22&gt;=2,"Slow")</f>
        <v>NA</v>
      </c>
      <c r="S22" t="str">
        <f>_xlfn.XLOOKUP(C22,'Product Master'!$A$2:$A$23,'Product Master'!$B$2:$B$23)</f>
        <v>Novel</v>
      </c>
    </row>
    <row r="23" spans="1:19" x14ac:dyDescent="0.25">
      <c r="A23" s="13" t="s">
        <v>91</v>
      </c>
      <c r="B23" s="1" t="s">
        <v>77</v>
      </c>
      <c r="C23" s="1" t="s">
        <v>11</v>
      </c>
      <c r="D23" s="1" t="s">
        <v>33</v>
      </c>
      <c r="E23" s="1">
        <v>46</v>
      </c>
      <c r="F23" s="1">
        <v>5</v>
      </c>
      <c r="G23" s="1">
        <v>230</v>
      </c>
      <c r="H23" s="1" t="s">
        <v>24</v>
      </c>
      <c r="I23" s="1" t="s">
        <v>22</v>
      </c>
      <c r="J23" s="1" t="s">
        <v>23</v>
      </c>
      <c r="K23" s="2">
        <v>45239</v>
      </c>
      <c r="L23" s="2"/>
      <c r="M23" s="2"/>
      <c r="N23" t="str">
        <f t="shared" si="0"/>
        <v>No</v>
      </c>
      <c r="O23" t="str">
        <f>_xlfn.XLOOKUP(C23,'Product Master'!$A$2:$A$23,'Product Master'!$C$2:$C$23)</f>
        <v>Home</v>
      </c>
      <c r="P23" t="str">
        <f t="shared" si="1"/>
        <v>NA</v>
      </c>
      <c r="Q23" t="str">
        <f>_xlfn.XLOOKUP(B23,'Customer Master'!$A$2:$A$50,'Customer Master'!$B$2:$B$50)</f>
        <v>Charlotte Reed</v>
      </c>
      <c r="R23" t="str" cm="1">
        <f t="array" ref="R23">_xlfn.IFS(P23="NA","NA",P23&lt;=2,"Fast",P23&gt;=2,"Slow")</f>
        <v>NA</v>
      </c>
      <c r="S23" t="str">
        <f>_xlfn.XLOOKUP(C23,'Product Master'!$A$2:$A$23,'Product Master'!$B$2:$B$23)</f>
        <v>Lamp</v>
      </c>
    </row>
    <row r="24" spans="1:19" x14ac:dyDescent="0.25">
      <c r="A24" s="13" t="s">
        <v>92</v>
      </c>
      <c r="B24" s="1" t="s">
        <v>93</v>
      </c>
      <c r="C24" s="1" t="s">
        <v>26</v>
      </c>
      <c r="D24" s="1" t="s">
        <v>33</v>
      </c>
      <c r="E24" s="1">
        <v>58</v>
      </c>
      <c r="F24" s="1">
        <v>3</v>
      </c>
      <c r="G24" s="1">
        <v>174</v>
      </c>
      <c r="H24" s="1" t="s">
        <v>28</v>
      </c>
      <c r="I24" s="1" t="s">
        <v>14</v>
      </c>
      <c r="J24" s="1" t="s">
        <v>27</v>
      </c>
      <c r="K24" s="2">
        <v>44970</v>
      </c>
      <c r="L24" s="2"/>
      <c r="M24" s="2">
        <v>44971</v>
      </c>
      <c r="N24" t="str">
        <f t="shared" si="0"/>
        <v>Yes</v>
      </c>
      <c r="O24" t="str">
        <f>_xlfn.XLOOKUP(C24,'Product Master'!$A$2:$A$23,'Product Master'!$C$2:$C$23)</f>
        <v>Fashion</v>
      </c>
      <c r="P24" t="str">
        <f t="shared" si="1"/>
        <v>NA</v>
      </c>
      <c r="Q24" t="str">
        <f>_xlfn.XLOOKUP(B24,'Customer Master'!$A$2:$A$50,'Customer Master'!$B$2:$B$50)</f>
        <v>Elijah Lewis</v>
      </c>
      <c r="R24" t="str" cm="1">
        <f t="array" ref="R24">_xlfn.IFS(P24="NA","NA",P24&lt;=2,"Fast",P24&gt;=2,"Slow")</f>
        <v>NA</v>
      </c>
      <c r="S24" t="str">
        <f>_xlfn.XLOOKUP(C24,'Product Master'!$A$2:$A$23,'Product Master'!$B$2:$B$23)</f>
        <v>Jeans</v>
      </c>
    </row>
    <row r="25" spans="1:19" x14ac:dyDescent="0.25">
      <c r="A25" s="13" t="s">
        <v>94</v>
      </c>
      <c r="B25" s="1" t="s">
        <v>95</v>
      </c>
      <c r="C25" s="1" t="s">
        <v>38</v>
      </c>
      <c r="D25" s="1" t="s">
        <v>33</v>
      </c>
      <c r="E25" s="1">
        <v>96</v>
      </c>
      <c r="F25" s="1">
        <v>5</v>
      </c>
      <c r="G25" s="1">
        <v>480</v>
      </c>
      <c r="H25" s="1" t="s">
        <v>28</v>
      </c>
      <c r="I25" s="1" t="s">
        <v>19</v>
      </c>
      <c r="J25" s="1" t="s">
        <v>27</v>
      </c>
      <c r="K25" s="2">
        <v>45232</v>
      </c>
      <c r="L25" s="2">
        <v>45235</v>
      </c>
      <c r="M25" s="2"/>
      <c r="N25" t="str">
        <f t="shared" si="0"/>
        <v>No</v>
      </c>
      <c r="O25" t="str">
        <f>_xlfn.XLOOKUP(C25,'Product Master'!$A$2:$A$23,'Product Master'!$C$2:$C$23)</f>
        <v>Fashion</v>
      </c>
      <c r="P25">
        <f t="shared" si="1"/>
        <v>3</v>
      </c>
      <c r="Q25" t="str">
        <f>_xlfn.XLOOKUP(B25,'Customer Master'!$A$2:$A$50,'Customer Master'!$B$2:$B$50)</f>
        <v>Lily Bennett</v>
      </c>
      <c r="R25" t="str" cm="1">
        <f t="array" ref="R25">_xlfn.IFS(P25="NA","NA",P25&lt;=2,"Fast",P25&gt;=2,"Slow")</f>
        <v>Slow</v>
      </c>
      <c r="S25" t="str">
        <f>_xlfn.XLOOKUP(C25,'Product Master'!$A$2:$A$23,'Product Master'!$B$2:$B$23)</f>
        <v>Shoes</v>
      </c>
    </row>
    <row r="26" spans="1:19" x14ac:dyDescent="0.25">
      <c r="A26" s="13" t="s">
        <v>96</v>
      </c>
      <c r="B26" s="1" t="s">
        <v>97</v>
      </c>
      <c r="C26" s="1" t="s">
        <v>44</v>
      </c>
      <c r="D26" s="1" t="s">
        <v>21</v>
      </c>
      <c r="E26" s="1">
        <v>43</v>
      </c>
      <c r="F26" s="1">
        <v>1</v>
      </c>
      <c r="G26" s="1">
        <v>43</v>
      </c>
      <c r="H26" s="1" t="s">
        <v>31</v>
      </c>
      <c r="I26" s="1" t="s">
        <v>19</v>
      </c>
      <c r="J26" s="1" t="s">
        <v>27</v>
      </c>
      <c r="K26" s="2">
        <v>45074</v>
      </c>
      <c r="L26" s="2">
        <v>45076</v>
      </c>
      <c r="M26" s="2"/>
      <c r="N26" t="str">
        <f t="shared" si="0"/>
        <v>No</v>
      </c>
      <c r="O26" t="str">
        <f>_xlfn.XLOOKUP(C26,'Product Master'!$A$2:$A$23,'Product Master'!$C$2:$C$23)</f>
        <v>Toys</v>
      </c>
      <c r="P26">
        <f t="shared" si="1"/>
        <v>2</v>
      </c>
      <c r="Q26" t="str">
        <f>_xlfn.XLOOKUP(B26,'Customer Master'!$A$2:$A$50,'Customer Master'!$B$2:$B$50)</f>
        <v>Benjamin Clark</v>
      </c>
      <c r="R26" t="str" cm="1">
        <f t="array" ref="R26">_xlfn.IFS(P26="NA","NA",P26&lt;=2,"Fast",P26&gt;=2,"Slow")</f>
        <v>Fast</v>
      </c>
      <c r="S26" t="str">
        <f>_xlfn.XLOOKUP(C26,'Product Master'!$A$2:$A$23,'Product Master'!$B$2:$B$23)</f>
        <v>Action Figure</v>
      </c>
    </row>
    <row r="27" spans="1:19" x14ac:dyDescent="0.25">
      <c r="A27" s="13" t="s">
        <v>98</v>
      </c>
      <c r="B27" s="1" t="s">
        <v>62</v>
      </c>
      <c r="C27" s="1" t="s">
        <v>45</v>
      </c>
      <c r="D27" s="1" t="s">
        <v>21</v>
      </c>
      <c r="E27" s="1">
        <v>64</v>
      </c>
      <c r="F27" s="1">
        <v>4</v>
      </c>
      <c r="G27" s="1">
        <v>256</v>
      </c>
      <c r="H27" s="1" t="s">
        <v>31</v>
      </c>
      <c r="I27" s="1" t="s">
        <v>19</v>
      </c>
      <c r="J27" s="1" t="s">
        <v>23</v>
      </c>
      <c r="K27" s="2">
        <v>45214</v>
      </c>
      <c r="L27" s="2">
        <v>45220</v>
      </c>
      <c r="M27" s="2"/>
      <c r="N27" t="str">
        <f t="shared" si="0"/>
        <v>No</v>
      </c>
      <c r="O27" t="str">
        <f>_xlfn.XLOOKUP(C27,'Product Master'!$A$2:$A$23,'Product Master'!$C$2:$C$23)</f>
        <v>Fashion</v>
      </c>
      <c r="P27">
        <f t="shared" si="1"/>
        <v>6</v>
      </c>
      <c r="Q27" t="str">
        <f>_xlfn.XLOOKUP(B27,'Customer Master'!$A$2:$A$50,'Customer Master'!$B$2:$B$50)</f>
        <v>Hazel Brooks</v>
      </c>
      <c r="R27" t="str" cm="1">
        <f t="array" ref="R27">_xlfn.IFS(P27="NA","NA",P27&lt;=2,"Fast",P27&gt;=2,"Slow")</f>
        <v>Slow</v>
      </c>
      <c r="S27" t="str">
        <f>_xlfn.XLOOKUP(C27,'Product Master'!$A$2:$A$23,'Product Master'!$B$2:$B$23)</f>
        <v>Backpack</v>
      </c>
    </row>
    <row r="28" spans="1:19" x14ac:dyDescent="0.25">
      <c r="A28" s="13" t="s">
        <v>99</v>
      </c>
      <c r="B28" s="1" t="s">
        <v>100</v>
      </c>
      <c r="C28" s="1" t="s">
        <v>42</v>
      </c>
      <c r="D28" s="1" t="s">
        <v>21</v>
      </c>
      <c r="E28" s="1">
        <v>70</v>
      </c>
      <c r="F28" s="1">
        <v>2</v>
      </c>
      <c r="G28" s="1">
        <v>140</v>
      </c>
      <c r="H28" s="1" t="s">
        <v>28</v>
      </c>
      <c r="I28" s="1" t="s">
        <v>22</v>
      </c>
      <c r="J28" s="1" t="s">
        <v>27</v>
      </c>
      <c r="K28" s="2">
        <v>44942</v>
      </c>
      <c r="L28" s="2"/>
      <c r="M28" s="2"/>
      <c r="N28" t="str">
        <f t="shared" si="0"/>
        <v>No</v>
      </c>
      <c r="O28" t="str">
        <f>_xlfn.XLOOKUP(C28,'Product Master'!$A$2:$A$23,'Product Master'!$C$2:$C$23)</f>
        <v>Books</v>
      </c>
      <c r="P28" t="str">
        <f t="shared" si="1"/>
        <v>NA</v>
      </c>
      <c r="Q28" t="str">
        <f>_xlfn.XLOOKUP(B28,'Customer Master'!$A$2:$A$50,'Customer Master'!$B$2:$B$50)</f>
        <v>Grace Scott</v>
      </c>
      <c r="R28" t="str" cm="1">
        <f t="array" ref="R28">_xlfn.IFS(P28="NA","NA",P28&lt;=2,"Fast",P28&gt;=2,"Slow")</f>
        <v>NA</v>
      </c>
      <c r="S28" t="str">
        <f>_xlfn.XLOOKUP(C28,'Product Master'!$A$2:$A$23,'Product Master'!$B$2:$B$23)</f>
        <v>Textbook</v>
      </c>
    </row>
    <row r="29" spans="1:19" x14ac:dyDescent="0.25">
      <c r="A29" s="13" t="s">
        <v>101</v>
      </c>
      <c r="B29" s="1" t="s">
        <v>100</v>
      </c>
      <c r="C29" s="1" t="s">
        <v>16</v>
      </c>
      <c r="D29" s="1" t="s">
        <v>30</v>
      </c>
      <c r="E29" s="1">
        <v>97</v>
      </c>
      <c r="F29" s="1">
        <v>3</v>
      </c>
      <c r="G29" s="1">
        <v>291</v>
      </c>
      <c r="H29" s="1" t="s">
        <v>18</v>
      </c>
      <c r="I29" s="1" t="s">
        <v>22</v>
      </c>
      <c r="J29" s="1" t="s">
        <v>27</v>
      </c>
      <c r="K29" s="2">
        <v>45208</v>
      </c>
      <c r="L29" s="2"/>
      <c r="M29" s="2"/>
      <c r="N29" t="str">
        <f t="shared" si="0"/>
        <v>No</v>
      </c>
      <c r="O29" t="str">
        <f>_xlfn.XLOOKUP(C29,'Product Master'!$A$2:$A$23,'Product Master'!$C$2:$C$23)</f>
        <v>Toys</v>
      </c>
      <c r="P29" t="str">
        <f t="shared" si="1"/>
        <v>NA</v>
      </c>
      <c r="Q29" t="str">
        <f>_xlfn.XLOOKUP(B29,'Customer Master'!$A$2:$A$50,'Customer Master'!$B$2:$B$50)</f>
        <v>Grace Scott</v>
      </c>
      <c r="R29" t="str" cm="1">
        <f t="array" ref="R29">_xlfn.IFS(P29="NA","NA",P29&lt;=2,"Fast",P29&gt;=2,"Slow")</f>
        <v>NA</v>
      </c>
      <c r="S29" t="str">
        <f>_xlfn.XLOOKUP(C29,'Product Master'!$A$2:$A$23,'Product Master'!$B$2:$B$23)</f>
        <v>Doll House</v>
      </c>
    </row>
    <row r="30" spans="1:19" x14ac:dyDescent="0.25">
      <c r="A30" s="13" t="s">
        <v>102</v>
      </c>
      <c r="B30" s="1" t="s">
        <v>103</v>
      </c>
      <c r="C30" s="1" t="s">
        <v>32</v>
      </c>
      <c r="D30" s="1" t="s">
        <v>17</v>
      </c>
      <c r="E30" s="1">
        <v>37</v>
      </c>
      <c r="F30" s="1">
        <v>3</v>
      </c>
      <c r="G30" s="1">
        <v>111</v>
      </c>
      <c r="H30" s="1" t="s">
        <v>13</v>
      </c>
      <c r="I30" s="1" t="s">
        <v>14</v>
      </c>
      <c r="J30" s="1" t="s">
        <v>15</v>
      </c>
      <c r="K30" s="2">
        <v>45206</v>
      </c>
      <c r="L30" s="2"/>
      <c r="M30" s="2">
        <v>45209</v>
      </c>
      <c r="N30" t="str">
        <f t="shared" si="0"/>
        <v>Yes</v>
      </c>
      <c r="O30" t="str">
        <f>_xlfn.XLOOKUP(C30,'Product Master'!$A$2:$A$23,'Product Master'!$C$2:$C$23)</f>
        <v>Home</v>
      </c>
      <c r="P30" t="str">
        <f t="shared" si="1"/>
        <v>NA</v>
      </c>
      <c r="Q30" t="str">
        <f>_xlfn.XLOOKUP(B30,'Customer Master'!$A$2:$A$50,'Customer Master'!$B$2:$B$50)</f>
        <v>Liam Walker</v>
      </c>
      <c r="R30" t="str" cm="1">
        <f t="array" ref="R30">_xlfn.IFS(P30="NA","NA",P30&lt;=2,"Fast",P30&gt;=2,"Slow")</f>
        <v>NA</v>
      </c>
      <c r="S30" t="str">
        <f>_xlfn.XLOOKUP(C30,'Product Master'!$A$2:$A$23,'Product Master'!$B$2:$B$23)</f>
        <v>Wall Clock</v>
      </c>
    </row>
    <row r="31" spans="1:19" x14ac:dyDescent="0.25">
      <c r="A31" s="13" t="s">
        <v>104</v>
      </c>
      <c r="B31" s="1" t="s">
        <v>105</v>
      </c>
      <c r="C31" s="1" t="s">
        <v>42</v>
      </c>
      <c r="D31" s="1" t="s">
        <v>12</v>
      </c>
      <c r="E31" s="1">
        <v>69</v>
      </c>
      <c r="F31" s="1">
        <v>5</v>
      </c>
      <c r="G31" s="1">
        <v>345</v>
      </c>
      <c r="H31" s="1" t="s">
        <v>28</v>
      </c>
      <c r="I31" s="1" t="s">
        <v>22</v>
      </c>
      <c r="J31" s="1" t="s">
        <v>27</v>
      </c>
      <c r="K31" s="2">
        <v>44971</v>
      </c>
      <c r="L31" s="2"/>
      <c r="M31" s="2"/>
      <c r="N31" t="str">
        <f t="shared" si="0"/>
        <v>No</v>
      </c>
      <c r="O31" t="str">
        <f>_xlfn.XLOOKUP(C31,'Product Master'!$A$2:$A$23,'Product Master'!$C$2:$C$23)</f>
        <v>Books</v>
      </c>
      <c r="P31" t="str">
        <f t="shared" si="1"/>
        <v>NA</v>
      </c>
      <c r="Q31" t="str">
        <f>_xlfn.XLOOKUP(B31,'Customer Master'!$A$2:$A$50,'Customer Master'!$B$2:$B$50)</f>
        <v>Harper Young</v>
      </c>
      <c r="R31" t="str" cm="1">
        <f t="array" ref="R31">_xlfn.IFS(P31="NA","NA",P31&lt;=2,"Fast",P31&gt;=2,"Slow")</f>
        <v>NA</v>
      </c>
      <c r="S31" t="str">
        <f>_xlfn.XLOOKUP(C31,'Product Master'!$A$2:$A$23,'Product Master'!$B$2:$B$23)</f>
        <v>Textbook</v>
      </c>
    </row>
    <row r="32" spans="1:19" x14ac:dyDescent="0.25">
      <c r="A32" s="13" t="s">
        <v>106</v>
      </c>
      <c r="B32" s="1" t="s">
        <v>107</v>
      </c>
      <c r="C32" s="1" t="s">
        <v>44</v>
      </c>
      <c r="D32" s="1" t="s">
        <v>12</v>
      </c>
      <c r="E32" s="1">
        <v>42</v>
      </c>
      <c r="F32" s="1">
        <v>5</v>
      </c>
      <c r="G32" s="1">
        <v>210</v>
      </c>
      <c r="H32" s="1" t="s">
        <v>28</v>
      </c>
      <c r="I32" s="1" t="s">
        <v>22</v>
      </c>
      <c r="J32" s="1" t="s">
        <v>25</v>
      </c>
      <c r="K32" s="2">
        <v>45011</v>
      </c>
      <c r="L32" s="2"/>
      <c r="M32" s="2"/>
      <c r="N32" t="str">
        <f t="shared" si="0"/>
        <v>No</v>
      </c>
      <c r="O32" t="str">
        <f>_xlfn.XLOOKUP(C32,'Product Master'!$A$2:$A$23,'Product Master'!$C$2:$C$23)</f>
        <v>Toys</v>
      </c>
      <c r="P32" t="str">
        <f t="shared" si="1"/>
        <v>NA</v>
      </c>
      <c r="Q32" t="str">
        <f>_xlfn.XLOOKUP(B32,'Customer Master'!$A$2:$A$50,'Customer Master'!$B$2:$B$50)</f>
        <v>Harper Young</v>
      </c>
      <c r="R32" t="str" cm="1">
        <f t="array" ref="R32">_xlfn.IFS(P32="NA","NA",P32&lt;=2,"Fast",P32&gt;=2,"Slow")</f>
        <v>NA</v>
      </c>
      <c r="S32" t="str">
        <f>_xlfn.XLOOKUP(C32,'Product Master'!$A$2:$A$23,'Product Master'!$B$2:$B$23)</f>
        <v>Action Figure</v>
      </c>
    </row>
    <row r="33" spans="1:19" x14ac:dyDescent="0.25">
      <c r="A33" s="13" t="s">
        <v>108</v>
      </c>
      <c r="B33" s="1" t="s">
        <v>109</v>
      </c>
      <c r="C33" s="1" t="s">
        <v>46</v>
      </c>
      <c r="D33" s="1" t="s">
        <v>17</v>
      </c>
      <c r="E33" s="1">
        <v>11</v>
      </c>
      <c r="F33" s="1">
        <v>5</v>
      </c>
      <c r="G33" s="1">
        <v>55</v>
      </c>
      <c r="H33" s="1" t="s">
        <v>31</v>
      </c>
      <c r="I33" s="1" t="s">
        <v>14</v>
      </c>
      <c r="J33" s="1" t="s">
        <v>37</v>
      </c>
      <c r="K33" s="2">
        <v>45092</v>
      </c>
      <c r="L33" s="2"/>
      <c r="M33" s="2">
        <v>45099</v>
      </c>
      <c r="N33" t="str">
        <f t="shared" si="0"/>
        <v>Yes</v>
      </c>
      <c r="O33" t="str">
        <f>_xlfn.XLOOKUP(C33,'Product Master'!$A$2:$A$23,'Product Master'!$C$2:$C$23)</f>
        <v>Books</v>
      </c>
      <c r="P33" t="str">
        <f t="shared" si="1"/>
        <v>NA</v>
      </c>
      <c r="Q33" t="str">
        <f>_xlfn.XLOOKUP(B33,'Customer Master'!$A$2:$A$50,'Customer Master'!$B$2:$B$50)</f>
        <v>Emily Johnson</v>
      </c>
      <c r="R33" t="str" cm="1">
        <f t="array" ref="R33">_xlfn.IFS(P33="NA","NA",P33&lt;=2,"Fast",P33&gt;=2,"Slow")</f>
        <v>NA</v>
      </c>
      <c r="S33" t="str">
        <f>_xlfn.XLOOKUP(C33,'Product Master'!$A$2:$A$23,'Product Master'!$B$2:$B$23)</f>
        <v>Magazine</v>
      </c>
    </row>
    <row r="34" spans="1:19" x14ac:dyDescent="0.25">
      <c r="A34" s="13" t="s">
        <v>110</v>
      </c>
      <c r="B34" s="1" t="s">
        <v>93</v>
      </c>
      <c r="C34" s="1" t="s">
        <v>40</v>
      </c>
      <c r="D34" s="1" t="s">
        <v>21</v>
      </c>
      <c r="E34" s="1">
        <v>27</v>
      </c>
      <c r="F34" s="1">
        <v>2</v>
      </c>
      <c r="G34" s="1">
        <v>54</v>
      </c>
      <c r="H34" s="1" t="s">
        <v>13</v>
      </c>
      <c r="I34" s="1" t="s">
        <v>19</v>
      </c>
      <c r="J34" s="1" t="s">
        <v>23</v>
      </c>
      <c r="K34" s="2">
        <v>45068</v>
      </c>
      <c r="L34" s="2">
        <v>45069</v>
      </c>
      <c r="M34" s="2"/>
      <c r="N34" t="str">
        <f t="shared" si="0"/>
        <v>No</v>
      </c>
      <c r="O34" t="str">
        <f>_xlfn.XLOOKUP(C34,'Product Master'!$A$2:$A$23,'Product Master'!$C$2:$C$23)</f>
        <v>Fashion</v>
      </c>
      <c r="P34">
        <f t="shared" si="1"/>
        <v>1</v>
      </c>
      <c r="Q34" t="str">
        <f>_xlfn.XLOOKUP(B34,'Customer Master'!$A$2:$A$50,'Customer Master'!$B$2:$B$50)</f>
        <v>Elijah Lewis</v>
      </c>
      <c r="R34" t="str" cm="1">
        <f t="array" ref="R34">_xlfn.IFS(P34="NA","NA",P34&lt;=2,"Fast",P34&gt;=2,"Slow")</f>
        <v>Fast</v>
      </c>
      <c r="S34" t="str">
        <f>_xlfn.XLOOKUP(C34,'Product Master'!$A$2:$A$23,'Product Master'!$B$2:$B$23)</f>
        <v>T-Shirt</v>
      </c>
    </row>
    <row r="35" spans="1:19" x14ac:dyDescent="0.25">
      <c r="A35" s="13" t="s">
        <v>111</v>
      </c>
      <c r="B35" s="1" t="s">
        <v>89</v>
      </c>
      <c r="C35" s="1" t="s">
        <v>41</v>
      </c>
      <c r="D35" s="1" t="s">
        <v>21</v>
      </c>
      <c r="E35" s="1">
        <v>21</v>
      </c>
      <c r="F35" s="1">
        <v>1</v>
      </c>
      <c r="G35" s="1">
        <v>21</v>
      </c>
      <c r="H35" s="1" t="s">
        <v>28</v>
      </c>
      <c r="I35" s="1" t="s">
        <v>22</v>
      </c>
      <c r="J35" s="1" t="s">
        <v>15</v>
      </c>
      <c r="K35" s="2">
        <v>45250</v>
      </c>
      <c r="L35" s="2"/>
      <c r="M35" s="2"/>
      <c r="N35" t="str">
        <f t="shared" si="0"/>
        <v>No</v>
      </c>
      <c r="O35" t="str">
        <f>_xlfn.XLOOKUP(C35,'Product Master'!$A$2:$A$23,'Product Master'!$C$2:$C$23)</f>
        <v>Books</v>
      </c>
      <c r="P35" t="str">
        <f t="shared" si="1"/>
        <v>NA</v>
      </c>
      <c r="Q35" t="str">
        <f>_xlfn.XLOOKUP(B35,'Customer Master'!$A$2:$A$50,'Customer Master'!$B$2:$B$50)</f>
        <v>Emma King</v>
      </c>
      <c r="R35" t="str" cm="1">
        <f t="array" ref="R35">_xlfn.IFS(P35="NA","NA",P35&lt;=2,"Fast",P35&gt;=2,"Slow")</f>
        <v>NA</v>
      </c>
      <c r="S35" t="str">
        <f>_xlfn.XLOOKUP(C35,'Product Master'!$A$2:$A$23,'Product Master'!$B$2:$B$23)</f>
        <v>Novel</v>
      </c>
    </row>
    <row r="36" spans="1:19" x14ac:dyDescent="0.25">
      <c r="A36" s="13" t="s">
        <v>112</v>
      </c>
      <c r="B36" s="1" t="s">
        <v>113</v>
      </c>
      <c r="C36" s="1" t="s">
        <v>47</v>
      </c>
      <c r="D36" s="1" t="s">
        <v>21</v>
      </c>
      <c r="E36" s="1">
        <v>172</v>
      </c>
      <c r="F36" s="1">
        <v>1</v>
      </c>
      <c r="G36" s="1">
        <v>172</v>
      </c>
      <c r="H36" s="1" t="s">
        <v>24</v>
      </c>
      <c r="I36" s="1" t="s">
        <v>19</v>
      </c>
      <c r="J36" s="1" t="s">
        <v>23</v>
      </c>
      <c r="K36" s="2">
        <v>45282</v>
      </c>
      <c r="L36" s="2">
        <v>45286</v>
      </c>
      <c r="M36" s="2"/>
      <c r="N36" t="str">
        <f t="shared" si="0"/>
        <v>No</v>
      </c>
      <c r="O36" t="str">
        <f>_xlfn.XLOOKUP(C36,'Product Master'!$A$2:$A$23,'Product Master'!$C$2:$C$23)</f>
        <v>Electronics</v>
      </c>
      <c r="P36">
        <f t="shared" si="1"/>
        <v>4</v>
      </c>
      <c r="Q36" t="str">
        <f>_xlfn.XLOOKUP(B36,'Customer Master'!$A$2:$A$50,'Customer Master'!$B$2:$B$50)</f>
        <v>Luke Gray</v>
      </c>
      <c r="R36" t="str" cm="1">
        <f t="array" ref="R36">_xlfn.IFS(P36="NA","NA",P36&lt;=2,"Fast",P36&gt;=2,"Slow")</f>
        <v>Slow</v>
      </c>
      <c r="S36" t="str">
        <f>_xlfn.XLOOKUP(C36,'Product Master'!$A$2:$A$23,'Product Master'!$B$2:$B$23)</f>
        <v>Headphones</v>
      </c>
    </row>
    <row r="37" spans="1:19" x14ac:dyDescent="0.25">
      <c r="A37" s="13" t="s">
        <v>114</v>
      </c>
      <c r="B37" s="1" t="s">
        <v>107</v>
      </c>
      <c r="C37" s="1" t="s">
        <v>48</v>
      </c>
      <c r="D37" s="1" t="s">
        <v>12</v>
      </c>
      <c r="E37" s="1">
        <v>212</v>
      </c>
      <c r="F37" s="1">
        <v>3</v>
      </c>
      <c r="G37" s="1">
        <v>636</v>
      </c>
      <c r="H37" s="1" t="s">
        <v>28</v>
      </c>
      <c r="I37" s="1" t="s">
        <v>22</v>
      </c>
      <c r="J37" s="1" t="s">
        <v>25</v>
      </c>
      <c r="K37" s="2">
        <v>45130</v>
      </c>
      <c r="L37" s="2"/>
      <c r="M37" s="2"/>
      <c r="N37" t="str">
        <f t="shared" si="0"/>
        <v>No</v>
      </c>
      <c r="O37" t="str">
        <f>_xlfn.XLOOKUP(C37,'Product Master'!$A$2:$A$23,'Product Master'!$C$2:$C$23)</f>
        <v>Home</v>
      </c>
      <c r="P37" t="str">
        <f t="shared" si="1"/>
        <v>NA</v>
      </c>
      <c r="Q37" t="str">
        <f>_xlfn.XLOOKUP(B37,'Customer Master'!$A$2:$A$50,'Customer Master'!$B$2:$B$50)</f>
        <v>Harper Young</v>
      </c>
      <c r="R37" t="str" cm="1">
        <f t="array" ref="R37">_xlfn.IFS(P37="NA","NA",P37&lt;=2,"Fast",P37&gt;=2,"Slow")</f>
        <v>NA</v>
      </c>
      <c r="S37" t="str">
        <f>_xlfn.XLOOKUP(C37,'Product Master'!$A$2:$A$23,'Product Master'!$B$2:$B$23)</f>
        <v>Cookware Set Pro</v>
      </c>
    </row>
    <row r="38" spans="1:19" x14ac:dyDescent="0.25">
      <c r="A38" s="13" t="s">
        <v>115</v>
      </c>
      <c r="B38" s="1" t="s">
        <v>60</v>
      </c>
      <c r="C38" s="1" t="s">
        <v>44</v>
      </c>
      <c r="D38" s="1" t="s">
        <v>17</v>
      </c>
      <c r="E38" s="1">
        <v>41</v>
      </c>
      <c r="F38" s="1">
        <v>4</v>
      </c>
      <c r="G38" s="1">
        <v>164</v>
      </c>
      <c r="H38" s="1" t="s">
        <v>18</v>
      </c>
      <c r="I38" s="1" t="s">
        <v>19</v>
      </c>
      <c r="J38" s="1" t="s">
        <v>27</v>
      </c>
      <c r="K38" s="2">
        <v>45216</v>
      </c>
      <c r="L38" s="2">
        <v>45221</v>
      </c>
      <c r="M38" s="2"/>
      <c r="N38" t="str">
        <f t="shared" si="0"/>
        <v>No</v>
      </c>
      <c r="O38" t="str">
        <f>_xlfn.XLOOKUP(C38,'Product Master'!$A$2:$A$23,'Product Master'!$C$2:$C$23)</f>
        <v>Toys</v>
      </c>
      <c r="P38">
        <f t="shared" si="1"/>
        <v>5</v>
      </c>
      <c r="Q38" t="str">
        <f>_xlfn.XLOOKUP(B38,'Customer Master'!$A$2:$A$50,'Customer Master'!$B$2:$B$50)</f>
        <v>Grace Ward</v>
      </c>
      <c r="R38" t="str" cm="1">
        <f t="array" ref="R38">_xlfn.IFS(P38="NA","NA",P38&lt;=2,"Fast",P38&gt;=2,"Slow")</f>
        <v>Slow</v>
      </c>
      <c r="S38" t="str">
        <f>_xlfn.XLOOKUP(C38,'Product Master'!$A$2:$A$23,'Product Master'!$B$2:$B$23)</f>
        <v>Action Figure</v>
      </c>
    </row>
    <row r="39" spans="1:19" x14ac:dyDescent="0.25">
      <c r="A39" s="13" t="s">
        <v>116</v>
      </c>
      <c r="B39" s="1" t="s">
        <v>95</v>
      </c>
      <c r="C39" s="1" t="s">
        <v>49</v>
      </c>
      <c r="D39" s="1" t="s">
        <v>12</v>
      </c>
      <c r="E39" s="1">
        <v>32</v>
      </c>
      <c r="F39" s="1">
        <v>2</v>
      </c>
      <c r="G39" s="1">
        <v>64</v>
      </c>
      <c r="H39" s="1" t="s">
        <v>31</v>
      </c>
      <c r="I39" s="1" t="s">
        <v>14</v>
      </c>
      <c r="J39" s="1" t="s">
        <v>37</v>
      </c>
      <c r="K39" s="2">
        <v>45160</v>
      </c>
      <c r="L39" s="2"/>
      <c r="M39" s="2">
        <v>45162</v>
      </c>
      <c r="N39" t="str">
        <f t="shared" si="0"/>
        <v>Yes</v>
      </c>
      <c r="O39" t="str">
        <f>_xlfn.XLOOKUP(C39,'Product Master'!$A$2:$A$23,'Product Master'!$C$2:$C$23)</f>
        <v>Toys</v>
      </c>
      <c r="P39" t="str">
        <f t="shared" si="1"/>
        <v>NA</v>
      </c>
      <c r="Q39" t="str">
        <f>_xlfn.XLOOKUP(B39,'Customer Master'!$A$2:$A$50,'Customer Master'!$B$2:$B$50)</f>
        <v>Lily Bennett</v>
      </c>
      <c r="R39" t="str" cm="1">
        <f t="array" ref="R39">_xlfn.IFS(P39="NA","NA",P39&lt;=2,"Fast",P39&gt;=2,"Slow")</f>
        <v>NA</v>
      </c>
      <c r="S39" t="str">
        <f>_xlfn.XLOOKUP(C39,'Product Master'!$A$2:$A$23,'Product Master'!$B$2:$B$23)</f>
        <v>Puzzle</v>
      </c>
    </row>
    <row r="40" spans="1:19" x14ac:dyDescent="0.25">
      <c r="A40" s="13" t="s">
        <v>117</v>
      </c>
      <c r="B40" s="1" t="s">
        <v>118</v>
      </c>
      <c r="C40" s="1" t="s">
        <v>45</v>
      </c>
      <c r="D40" s="1" t="s">
        <v>17</v>
      </c>
      <c r="E40" s="1">
        <v>66</v>
      </c>
      <c r="F40" s="1">
        <v>2</v>
      </c>
      <c r="G40" s="1">
        <v>132</v>
      </c>
      <c r="H40" s="1" t="s">
        <v>13</v>
      </c>
      <c r="I40" s="1" t="s">
        <v>22</v>
      </c>
      <c r="J40" s="1" t="s">
        <v>15</v>
      </c>
      <c r="K40" s="2">
        <v>45262</v>
      </c>
      <c r="L40" s="2"/>
      <c r="M40" s="2"/>
      <c r="N40" t="str">
        <f t="shared" si="0"/>
        <v>No</v>
      </c>
      <c r="O40" t="str">
        <f>_xlfn.XLOOKUP(C40,'Product Master'!$A$2:$A$23,'Product Master'!$C$2:$C$23)</f>
        <v>Fashion</v>
      </c>
      <c r="P40" t="str">
        <f t="shared" si="1"/>
        <v>NA</v>
      </c>
      <c r="Q40" t="str">
        <f>_xlfn.XLOOKUP(B40,'Customer Master'!$A$2:$A$50,'Customer Master'!$B$2:$B$50)</f>
        <v>Scarlett Murphy</v>
      </c>
      <c r="R40" t="str" cm="1">
        <f t="array" ref="R40">_xlfn.IFS(P40="NA","NA",P40&lt;=2,"Fast",P40&gt;=2,"Slow")</f>
        <v>NA</v>
      </c>
      <c r="S40" t="str">
        <f>_xlfn.XLOOKUP(C40,'Product Master'!$A$2:$A$23,'Product Master'!$B$2:$B$23)</f>
        <v>Backpack</v>
      </c>
    </row>
    <row r="41" spans="1:19" x14ac:dyDescent="0.25">
      <c r="A41" s="13" t="s">
        <v>119</v>
      </c>
      <c r="B41" s="1" t="s">
        <v>120</v>
      </c>
      <c r="C41" s="1" t="s">
        <v>50</v>
      </c>
      <c r="D41" s="1" t="s">
        <v>17</v>
      </c>
      <c r="E41" s="1">
        <v>62</v>
      </c>
      <c r="F41" s="1">
        <v>4</v>
      </c>
      <c r="G41" s="1">
        <v>248</v>
      </c>
      <c r="H41" s="1" t="s">
        <v>31</v>
      </c>
      <c r="I41" s="1" t="s">
        <v>22</v>
      </c>
      <c r="J41" s="1" t="s">
        <v>25</v>
      </c>
      <c r="K41" s="2">
        <v>45285</v>
      </c>
      <c r="L41" s="2"/>
      <c r="M41" s="2"/>
      <c r="N41" t="str">
        <f t="shared" si="0"/>
        <v>No</v>
      </c>
      <c r="O41" t="str">
        <f>_xlfn.XLOOKUP(C41,'Product Master'!$A$2:$A$23,'Product Master'!$C$2:$C$23)</f>
        <v>Toys</v>
      </c>
      <c r="P41" t="str">
        <f t="shared" si="1"/>
        <v>NA</v>
      </c>
      <c r="Q41" t="str">
        <f>_xlfn.XLOOKUP(B41,'Customer Master'!$A$2:$A$50,'Customer Master'!$B$2:$B$50)</f>
        <v>Ava Robinson</v>
      </c>
      <c r="R41" t="str" cm="1">
        <f t="array" ref="R41">_xlfn.IFS(P41="NA","NA",P41&lt;=2,"Fast",P41&gt;=2,"Slow")</f>
        <v>NA</v>
      </c>
      <c r="S41" t="str">
        <f>_xlfn.XLOOKUP(C41,'Product Master'!$A$2:$A$23,'Product Master'!$B$2:$B$23)</f>
        <v>Leg Set</v>
      </c>
    </row>
    <row r="42" spans="1:19" x14ac:dyDescent="0.25">
      <c r="A42" s="13" t="s">
        <v>121</v>
      </c>
      <c r="B42" s="1" t="s">
        <v>122</v>
      </c>
      <c r="C42" s="1" t="s">
        <v>47</v>
      </c>
      <c r="D42" s="1" t="s">
        <v>33</v>
      </c>
      <c r="E42" s="1">
        <v>173</v>
      </c>
      <c r="F42" s="1">
        <v>4</v>
      </c>
      <c r="G42" s="1">
        <v>692</v>
      </c>
      <c r="H42" s="1" t="s">
        <v>13</v>
      </c>
      <c r="I42" s="1" t="s">
        <v>19</v>
      </c>
      <c r="J42" s="1" t="s">
        <v>25</v>
      </c>
      <c r="K42" s="2">
        <v>45192</v>
      </c>
      <c r="L42" s="2">
        <v>45199</v>
      </c>
      <c r="M42" s="2"/>
      <c r="N42" t="str">
        <f t="shared" si="0"/>
        <v>No</v>
      </c>
      <c r="O42" t="str">
        <f>_xlfn.XLOOKUP(C42,'Product Master'!$A$2:$A$23,'Product Master'!$C$2:$C$23)</f>
        <v>Electronics</v>
      </c>
      <c r="P42">
        <f t="shared" si="1"/>
        <v>7</v>
      </c>
      <c r="Q42" t="str">
        <f>_xlfn.XLOOKUP(B42,'Customer Master'!$A$2:$A$50,'Customer Master'!$B$2:$B$50)</f>
        <v>James Miller</v>
      </c>
      <c r="R42" t="str" cm="1">
        <f t="array" ref="R42">_xlfn.IFS(P42="NA","NA",P42&lt;=2,"Fast",P42&gt;=2,"Slow")</f>
        <v>Slow</v>
      </c>
      <c r="S42" t="str">
        <f>_xlfn.XLOOKUP(C42,'Product Master'!$A$2:$A$23,'Product Master'!$B$2:$B$23)</f>
        <v>Headphones</v>
      </c>
    </row>
    <row r="43" spans="1:19" x14ac:dyDescent="0.25">
      <c r="A43" s="13" t="s">
        <v>123</v>
      </c>
      <c r="B43" s="1" t="s">
        <v>103</v>
      </c>
      <c r="C43" s="1" t="s">
        <v>50</v>
      </c>
      <c r="D43" s="1" t="s">
        <v>33</v>
      </c>
      <c r="E43" s="1">
        <v>63</v>
      </c>
      <c r="F43" s="1">
        <v>3</v>
      </c>
      <c r="G43" s="1">
        <v>189</v>
      </c>
      <c r="H43" s="1" t="s">
        <v>13</v>
      </c>
      <c r="I43" s="1" t="s">
        <v>19</v>
      </c>
      <c r="J43" s="1" t="s">
        <v>25</v>
      </c>
      <c r="K43" s="2">
        <v>45123</v>
      </c>
      <c r="L43" s="2">
        <v>45125</v>
      </c>
      <c r="M43" s="2"/>
      <c r="N43" t="str">
        <f t="shared" si="0"/>
        <v>No</v>
      </c>
      <c r="O43" t="str">
        <f>_xlfn.XLOOKUP(C43,'Product Master'!$A$2:$A$23,'Product Master'!$C$2:$C$23)</f>
        <v>Toys</v>
      </c>
      <c r="P43">
        <f t="shared" si="1"/>
        <v>2</v>
      </c>
      <c r="Q43" t="str">
        <f>_xlfn.XLOOKUP(B43,'Customer Master'!$A$2:$A$50,'Customer Master'!$B$2:$B$50)</f>
        <v>Liam Walker</v>
      </c>
      <c r="R43" t="str" cm="1">
        <f t="array" ref="R43">_xlfn.IFS(P43="NA","NA",P43&lt;=2,"Fast",P43&gt;=2,"Slow")</f>
        <v>Fast</v>
      </c>
      <c r="S43" t="str">
        <f>_xlfn.XLOOKUP(C43,'Product Master'!$A$2:$A$23,'Product Master'!$B$2:$B$23)</f>
        <v>Leg Set</v>
      </c>
    </row>
    <row r="44" spans="1:19" x14ac:dyDescent="0.25">
      <c r="A44" s="13" t="s">
        <v>124</v>
      </c>
      <c r="B44" s="1" t="s">
        <v>97</v>
      </c>
      <c r="C44" s="1" t="s">
        <v>32</v>
      </c>
      <c r="D44" s="1" t="s">
        <v>33</v>
      </c>
      <c r="E44" s="1">
        <v>36</v>
      </c>
      <c r="F44" s="1">
        <v>3</v>
      </c>
      <c r="G44" s="1">
        <v>108</v>
      </c>
      <c r="H44" s="1" t="s">
        <v>31</v>
      </c>
      <c r="I44" s="1" t="s">
        <v>14</v>
      </c>
      <c r="J44" s="1" t="s">
        <v>23</v>
      </c>
      <c r="K44" s="2">
        <v>44962</v>
      </c>
      <c r="L44" s="2"/>
      <c r="M44" s="2">
        <v>44968</v>
      </c>
      <c r="N44" t="str">
        <f t="shared" si="0"/>
        <v>Yes</v>
      </c>
      <c r="O44" t="str">
        <f>_xlfn.XLOOKUP(C44,'Product Master'!$A$2:$A$23,'Product Master'!$C$2:$C$23)</f>
        <v>Home</v>
      </c>
      <c r="P44" t="str">
        <f t="shared" si="1"/>
        <v>NA</v>
      </c>
      <c r="Q44" t="str">
        <f>_xlfn.XLOOKUP(B44,'Customer Master'!$A$2:$A$50,'Customer Master'!$B$2:$B$50)</f>
        <v>Benjamin Clark</v>
      </c>
      <c r="R44" t="str" cm="1">
        <f t="array" ref="R44">_xlfn.IFS(P44="NA","NA",P44&lt;=2,"Fast",P44&gt;=2,"Slow")</f>
        <v>NA</v>
      </c>
      <c r="S44" t="str">
        <f>_xlfn.XLOOKUP(C44,'Product Master'!$A$2:$A$23,'Product Master'!$B$2:$B$23)</f>
        <v>Wall Clock</v>
      </c>
    </row>
    <row r="45" spans="1:19" x14ac:dyDescent="0.25">
      <c r="A45" s="13" t="s">
        <v>125</v>
      </c>
      <c r="B45" s="1" t="s">
        <v>120</v>
      </c>
      <c r="C45" s="1" t="s">
        <v>50</v>
      </c>
      <c r="D45" s="1" t="s">
        <v>30</v>
      </c>
      <c r="E45" s="1">
        <v>62</v>
      </c>
      <c r="F45" s="1">
        <v>1</v>
      </c>
      <c r="G45" s="1">
        <v>62</v>
      </c>
      <c r="H45" s="1" t="s">
        <v>13</v>
      </c>
      <c r="I45" s="1" t="s">
        <v>14</v>
      </c>
      <c r="J45" s="1" t="s">
        <v>27</v>
      </c>
      <c r="K45" s="2">
        <v>45278</v>
      </c>
      <c r="L45" s="2"/>
      <c r="M45" s="2">
        <v>45283</v>
      </c>
      <c r="N45" t="str">
        <f t="shared" si="0"/>
        <v>Yes</v>
      </c>
      <c r="O45" t="str">
        <f>_xlfn.XLOOKUP(C45,'Product Master'!$A$2:$A$23,'Product Master'!$C$2:$C$23)</f>
        <v>Toys</v>
      </c>
      <c r="P45" t="str">
        <f t="shared" si="1"/>
        <v>NA</v>
      </c>
      <c r="Q45" t="str">
        <f>_xlfn.XLOOKUP(B45,'Customer Master'!$A$2:$A$50,'Customer Master'!$B$2:$B$50)</f>
        <v>Ava Robinson</v>
      </c>
      <c r="R45" t="str" cm="1">
        <f t="array" ref="R45">_xlfn.IFS(P45="NA","NA",P45&lt;=2,"Fast",P45&gt;=2,"Slow")</f>
        <v>NA</v>
      </c>
      <c r="S45" t="str">
        <f>_xlfn.XLOOKUP(C45,'Product Master'!$A$2:$A$23,'Product Master'!$B$2:$B$23)</f>
        <v>Leg Set</v>
      </c>
    </row>
    <row r="46" spans="1:19" x14ac:dyDescent="0.25">
      <c r="A46" s="13" t="s">
        <v>126</v>
      </c>
      <c r="B46" s="1" t="s">
        <v>66</v>
      </c>
      <c r="C46" s="1" t="s">
        <v>35</v>
      </c>
      <c r="D46" s="1" t="s">
        <v>30</v>
      </c>
      <c r="E46" s="1">
        <v>137</v>
      </c>
      <c r="F46" s="1">
        <v>5</v>
      </c>
      <c r="G46" s="1">
        <v>685</v>
      </c>
      <c r="H46" s="1" t="s">
        <v>28</v>
      </c>
      <c r="I46" s="1" t="s">
        <v>14</v>
      </c>
      <c r="J46" s="1" t="s">
        <v>37</v>
      </c>
      <c r="K46" s="2">
        <v>45088</v>
      </c>
      <c r="L46" s="2"/>
      <c r="M46" s="2">
        <v>45091</v>
      </c>
      <c r="N46" t="str">
        <f t="shared" si="0"/>
        <v>Yes</v>
      </c>
      <c r="O46" t="str">
        <f>_xlfn.XLOOKUP(C46,'Product Master'!$A$2:$A$23,'Product Master'!$C$2:$C$23)</f>
        <v>Home</v>
      </c>
      <c r="P46" t="str">
        <f t="shared" si="1"/>
        <v>NA</v>
      </c>
      <c r="Q46" t="str">
        <f>_xlfn.XLOOKUP(B46,'Customer Master'!$A$2:$A$50,'Customer Master'!$B$2:$B$50)</f>
        <v>Noah Wilson</v>
      </c>
      <c r="R46" t="str" cm="1">
        <f t="array" ref="R46">_xlfn.IFS(P46="NA","NA",P46&lt;=2,"Fast",P46&gt;=2,"Slow")</f>
        <v>NA</v>
      </c>
      <c r="S46" t="str">
        <f>_xlfn.XLOOKUP(C46,'Product Master'!$A$2:$A$23,'Product Master'!$B$2:$B$23)</f>
        <v>Cookware Set</v>
      </c>
    </row>
    <row r="47" spans="1:19" x14ac:dyDescent="0.25">
      <c r="A47" s="13" t="s">
        <v>127</v>
      </c>
      <c r="B47" s="1" t="s">
        <v>128</v>
      </c>
      <c r="C47" s="1" t="s">
        <v>39</v>
      </c>
      <c r="D47" s="1" t="s">
        <v>12</v>
      </c>
      <c r="E47" s="1">
        <v>73</v>
      </c>
      <c r="F47" s="1">
        <v>4</v>
      </c>
      <c r="G47" s="1">
        <v>292</v>
      </c>
      <c r="H47" s="1" t="s">
        <v>18</v>
      </c>
      <c r="I47" s="1" t="s">
        <v>19</v>
      </c>
      <c r="J47" s="1" t="s">
        <v>27</v>
      </c>
      <c r="K47" s="2">
        <v>45264</v>
      </c>
      <c r="L47" s="2">
        <v>45268</v>
      </c>
      <c r="M47" s="2"/>
      <c r="N47" t="str">
        <f t="shared" si="0"/>
        <v>No</v>
      </c>
      <c r="O47" t="str">
        <f>_xlfn.XLOOKUP(C47,'Product Master'!$A$2:$A$23,'Product Master'!$C$2:$C$23)</f>
        <v>Electronics</v>
      </c>
      <c r="P47">
        <f t="shared" si="1"/>
        <v>4</v>
      </c>
      <c r="Q47" t="str">
        <f>_xlfn.XLOOKUP(B47,'Customer Master'!$A$2:$A$50,'Customer Master'!$B$2:$B$50)</f>
        <v>Logan Ramirez</v>
      </c>
      <c r="R47" t="str" cm="1">
        <f t="array" ref="R47">_xlfn.IFS(P47="NA","NA",P47&lt;=2,"Fast",P47&gt;=2,"Slow")</f>
        <v>Slow</v>
      </c>
      <c r="S47" t="str">
        <f>_xlfn.XLOOKUP(C47,'Product Master'!$A$2:$A$23,'Product Master'!$B$2:$B$23)</f>
        <v>Gaming Mouse</v>
      </c>
    </row>
    <row r="48" spans="1:19" x14ac:dyDescent="0.25">
      <c r="A48" s="13" t="s">
        <v>129</v>
      </c>
      <c r="B48" s="1" t="s">
        <v>87</v>
      </c>
      <c r="C48" s="1" t="s">
        <v>29</v>
      </c>
      <c r="D48" s="1" t="s">
        <v>12</v>
      </c>
      <c r="E48" s="1">
        <v>104</v>
      </c>
      <c r="F48" s="1">
        <v>1</v>
      </c>
      <c r="G48" s="1">
        <v>104</v>
      </c>
      <c r="H48" s="1" t="s">
        <v>24</v>
      </c>
      <c r="I48" s="1" t="s">
        <v>19</v>
      </c>
      <c r="J48" s="1" t="s">
        <v>27</v>
      </c>
      <c r="K48" s="2">
        <v>45124</v>
      </c>
      <c r="L48" s="2">
        <v>45126</v>
      </c>
      <c r="M48" s="2"/>
      <c r="N48" t="str">
        <f t="shared" si="0"/>
        <v>No</v>
      </c>
      <c r="O48" t="str">
        <f>_xlfn.XLOOKUP(C48,'Product Master'!$A$2:$A$23,'Product Master'!$C$2:$C$23)</f>
        <v>Electronics</v>
      </c>
      <c r="P48">
        <f t="shared" si="1"/>
        <v>2</v>
      </c>
      <c r="Q48" t="str">
        <f>_xlfn.XLOOKUP(B48,'Customer Master'!$A$2:$A$50,'Customer Master'!$B$2:$B$50)</f>
        <v>Jacob Price</v>
      </c>
      <c r="R48" t="str" cm="1">
        <f t="array" ref="R48">_xlfn.IFS(P48="NA","NA",P48&lt;=2,"Fast",P48&gt;=2,"Slow")</f>
        <v>Fast</v>
      </c>
      <c r="S48" t="str">
        <f>_xlfn.XLOOKUP(C48,'Product Master'!$A$2:$A$23,'Product Master'!$B$2:$B$23)</f>
        <v>Bluetooth Speaker</v>
      </c>
    </row>
    <row r="49" spans="1:19" x14ac:dyDescent="0.25">
      <c r="A49" s="13" t="s">
        <v>130</v>
      </c>
      <c r="B49" s="1" t="s">
        <v>60</v>
      </c>
      <c r="C49" s="1" t="s">
        <v>38</v>
      </c>
      <c r="D49" s="1" t="s">
        <v>17</v>
      </c>
      <c r="E49" s="1">
        <v>97</v>
      </c>
      <c r="F49" s="1">
        <v>1</v>
      </c>
      <c r="G49" s="1">
        <v>97</v>
      </c>
      <c r="H49" s="1" t="s">
        <v>28</v>
      </c>
      <c r="I49" s="1" t="s">
        <v>19</v>
      </c>
      <c r="J49" s="1" t="s">
        <v>37</v>
      </c>
      <c r="K49" s="2">
        <v>45218</v>
      </c>
      <c r="L49" s="2">
        <v>45223</v>
      </c>
      <c r="M49" s="2"/>
      <c r="N49" t="str">
        <f t="shared" si="0"/>
        <v>No</v>
      </c>
      <c r="O49" t="str">
        <f>_xlfn.XLOOKUP(C49,'Product Master'!$A$2:$A$23,'Product Master'!$C$2:$C$23)</f>
        <v>Fashion</v>
      </c>
      <c r="P49">
        <f t="shared" si="1"/>
        <v>5</v>
      </c>
      <c r="Q49" t="str">
        <f>_xlfn.XLOOKUP(B49,'Customer Master'!$A$2:$A$50,'Customer Master'!$B$2:$B$50)</f>
        <v>Grace Ward</v>
      </c>
      <c r="R49" t="str" cm="1">
        <f t="array" ref="R49">_xlfn.IFS(P49="NA","NA",P49&lt;=2,"Fast",P49&gt;=2,"Slow")</f>
        <v>Slow</v>
      </c>
      <c r="S49" t="str">
        <f>_xlfn.XLOOKUP(C49,'Product Master'!$A$2:$A$23,'Product Master'!$B$2:$B$23)</f>
        <v>Shoes</v>
      </c>
    </row>
    <row r="50" spans="1:19" x14ac:dyDescent="0.25">
      <c r="A50" s="13" t="s">
        <v>131</v>
      </c>
      <c r="B50" s="1" t="s">
        <v>132</v>
      </c>
      <c r="C50" s="1" t="s">
        <v>39</v>
      </c>
      <c r="D50" s="1" t="s">
        <v>21</v>
      </c>
      <c r="E50" s="1">
        <v>73</v>
      </c>
      <c r="F50" s="1">
        <v>5</v>
      </c>
      <c r="G50" s="1">
        <v>365</v>
      </c>
      <c r="H50" s="1" t="s">
        <v>13</v>
      </c>
      <c r="I50" s="1" t="s">
        <v>22</v>
      </c>
      <c r="J50" s="1" t="s">
        <v>27</v>
      </c>
      <c r="K50" s="2">
        <v>45061</v>
      </c>
      <c r="L50" s="2"/>
      <c r="M50" s="2"/>
      <c r="N50" t="str">
        <f t="shared" si="0"/>
        <v>No</v>
      </c>
      <c r="O50" t="str">
        <f>_xlfn.XLOOKUP(C50,'Product Master'!$A$2:$A$23,'Product Master'!$C$2:$C$23)</f>
        <v>Electronics</v>
      </c>
      <c r="P50" t="str">
        <f t="shared" si="1"/>
        <v>NA</v>
      </c>
      <c r="Q50" t="str">
        <f>_xlfn.XLOOKUP(B50,'Customer Master'!$A$2:$A$50,'Customer Master'!$B$2:$B$50)</f>
        <v>Zoe Mitchell</v>
      </c>
      <c r="R50" t="str" cm="1">
        <f t="array" ref="R50">_xlfn.IFS(P50="NA","NA",P50&lt;=2,"Fast",P50&gt;=2,"Slow")</f>
        <v>NA</v>
      </c>
      <c r="S50" t="str">
        <f>_xlfn.XLOOKUP(C50,'Product Master'!$A$2:$A$23,'Product Master'!$B$2:$B$23)</f>
        <v>Gaming Mouse</v>
      </c>
    </row>
    <row r="51" spans="1:19" x14ac:dyDescent="0.25">
      <c r="A51" s="13" t="s">
        <v>133</v>
      </c>
      <c r="B51" s="1" t="s">
        <v>97</v>
      </c>
      <c r="C51" s="1" t="s">
        <v>40</v>
      </c>
      <c r="D51" s="1" t="s">
        <v>17</v>
      </c>
      <c r="E51" s="1">
        <v>27</v>
      </c>
      <c r="F51" s="1">
        <v>3</v>
      </c>
      <c r="G51" s="1">
        <v>81</v>
      </c>
      <c r="H51" s="1" t="s">
        <v>28</v>
      </c>
      <c r="I51" s="1" t="s">
        <v>19</v>
      </c>
      <c r="J51" s="1" t="s">
        <v>25</v>
      </c>
      <c r="K51" s="2">
        <v>44969</v>
      </c>
      <c r="L51" s="2">
        <v>44976</v>
      </c>
      <c r="M51" s="2"/>
      <c r="N51" t="str">
        <f t="shared" si="0"/>
        <v>No</v>
      </c>
      <c r="O51" t="str">
        <f>_xlfn.XLOOKUP(C51,'Product Master'!$A$2:$A$23,'Product Master'!$C$2:$C$23)</f>
        <v>Fashion</v>
      </c>
      <c r="P51">
        <f t="shared" si="1"/>
        <v>7</v>
      </c>
      <c r="Q51" t="str">
        <f>_xlfn.XLOOKUP(B51,'Customer Master'!$A$2:$A$50,'Customer Master'!$B$2:$B$50)</f>
        <v>Benjamin Clark</v>
      </c>
      <c r="R51" t="str" cm="1">
        <f t="array" ref="R51">_xlfn.IFS(P51="NA","NA",P51&lt;=2,"Fast",P51&gt;=2,"Slow")</f>
        <v>Slow</v>
      </c>
      <c r="S51" t="str">
        <f>_xlfn.XLOOKUP(C51,'Product Master'!$A$2:$A$23,'Product Master'!$B$2:$B$23)</f>
        <v>T-Shirt</v>
      </c>
    </row>
    <row r="52" spans="1:19" x14ac:dyDescent="0.25">
      <c r="A52" s="13" t="s">
        <v>134</v>
      </c>
      <c r="B52" s="1" t="s">
        <v>87</v>
      </c>
      <c r="C52" s="1" t="s">
        <v>32</v>
      </c>
      <c r="D52" s="1" t="s">
        <v>12</v>
      </c>
      <c r="E52" s="1">
        <v>37</v>
      </c>
      <c r="F52" s="1">
        <v>1</v>
      </c>
      <c r="G52" s="1">
        <v>37</v>
      </c>
      <c r="H52" s="1" t="s">
        <v>13</v>
      </c>
      <c r="I52" s="1" t="s">
        <v>22</v>
      </c>
      <c r="J52" s="1" t="s">
        <v>25</v>
      </c>
      <c r="K52" s="2">
        <v>45201</v>
      </c>
      <c r="L52" s="2"/>
      <c r="M52" s="2"/>
      <c r="N52" t="str">
        <f t="shared" si="0"/>
        <v>No</v>
      </c>
      <c r="O52" t="str">
        <f>_xlfn.XLOOKUP(C52,'Product Master'!$A$2:$A$23,'Product Master'!$C$2:$C$23)</f>
        <v>Home</v>
      </c>
      <c r="P52" t="str">
        <f t="shared" si="1"/>
        <v>NA</v>
      </c>
      <c r="Q52" t="str">
        <f>_xlfn.XLOOKUP(B52,'Customer Master'!$A$2:$A$50,'Customer Master'!$B$2:$B$50)</f>
        <v>Jacob Price</v>
      </c>
      <c r="R52" t="str" cm="1">
        <f t="array" ref="R52">_xlfn.IFS(P52="NA","NA",P52&lt;=2,"Fast",P52&gt;=2,"Slow")</f>
        <v>NA</v>
      </c>
      <c r="S52" t="str">
        <f>_xlfn.XLOOKUP(C52,'Product Master'!$A$2:$A$23,'Product Master'!$B$2:$B$23)</f>
        <v>Wall Clock</v>
      </c>
    </row>
    <row r="53" spans="1:19" x14ac:dyDescent="0.25">
      <c r="A53" s="13" t="s">
        <v>135</v>
      </c>
      <c r="B53" s="1" t="s">
        <v>105</v>
      </c>
      <c r="C53" s="1" t="s">
        <v>41</v>
      </c>
      <c r="D53" s="1" t="s">
        <v>12</v>
      </c>
      <c r="E53" s="1">
        <v>22</v>
      </c>
      <c r="F53" s="1">
        <v>1</v>
      </c>
      <c r="G53" s="1">
        <v>22</v>
      </c>
      <c r="H53" s="1" t="s">
        <v>31</v>
      </c>
      <c r="I53" s="1" t="s">
        <v>19</v>
      </c>
      <c r="J53" s="1" t="s">
        <v>37</v>
      </c>
      <c r="K53" s="2">
        <v>44956</v>
      </c>
      <c r="L53" s="2">
        <v>44958</v>
      </c>
      <c r="M53" s="2"/>
      <c r="N53" t="str">
        <f t="shared" si="0"/>
        <v>No</v>
      </c>
      <c r="O53" t="str">
        <f>_xlfn.XLOOKUP(C53,'Product Master'!$A$2:$A$23,'Product Master'!$C$2:$C$23)</f>
        <v>Books</v>
      </c>
      <c r="P53">
        <f t="shared" si="1"/>
        <v>2</v>
      </c>
      <c r="Q53" t="str">
        <f>_xlfn.XLOOKUP(B53,'Customer Master'!$A$2:$A$50,'Customer Master'!$B$2:$B$50)</f>
        <v>Harper Young</v>
      </c>
      <c r="R53" t="str" cm="1">
        <f t="array" ref="R53">_xlfn.IFS(P53="NA","NA",P53&lt;=2,"Fast",P53&gt;=2,"Slow")</f>
        <v>Fast</v>
      </c>
      <c r="S53" t="str">
        <f>_xlfn.XLOOKUP(C53,'Product Master'!$A$2:$A$23,'Product Master'!$B$2:$B$23)</f>
        <v>Novel</v>
      </c>
    </row>
    <row r="54" spans="1:19" x14ac:dyDescent="0.25">
      <c r="A54" s="13" t="s">
        <v>136</v>
      </c>
      <c r="B54" s="1" t="s">
        <v>85</v>
      </c>
      <c r="C54" s="1" t="s">
        <v>48</v>
      </c>
      <c r="D54" s="1" t="s">
        <v>30</v>
      </c>
      <c r="E54" s="1">
        <v>218</v>
      </c>
      <c r="F54" s="1">
        <v>5</v>
      </c>
      <c r="G54" s="1">
        <v>1090</v>
      </c>
      <c r="H54" s="1" t="s">
        <v>24</v>
      </c>
      <c r="I54" s="1" t="s">
        <v>19</v>
      </c>
      <c r="J54" s="1" t="s">
        <v>15</v>
      </c>
      <c r="K54" s="2">
        <v>45289</v>
      </c>
      <c r="L54" s="2">
        <v>45292</v>
      </c>
      <c r="M54" s="2"/>
      <c r="N54" t="str">
        <f t="shared" si="0"/>
        <v>No</v>
      </c>
      <c r="O54" t="str">
        <f>_xlfn.XLOOKUP(C54,'Product Master'!$A$2:$A$23,'Product Master'!$C$2:$C$23)</f>
        <v>Home</v>
      </c>
      <c r="P54">
        <f t="shared" si="1"/>
        <v>3</v>
      </c>
      <c r="Q54" t="str">
        <f>_xlfn.XLOOKUP(B54,'Customer Master'!$A$2:$A$50,'Customer Master'!$B$2:$B$50)</f>
        <v>Mason Hall</v>
      </c>
      <c r="R54" t="str" cm="1">
        <f t="array" ref="R54">_xlfn.IFS(P54="NA","NA",P54&lt;=2,"Fast",P54&gt;=2,"Slow")</f>
        <v>Slow</v>
      </c>
      <c r="S54" t="str">
        <f>_xlfn.XLOOKUP(C54,'Product Master'!$A$2:$A$23,'Product Master'!$B$2:$B$23)</f>
        <v>Cookware Set Pro</v>
      </c>
    </row>
    <row r="55" spans="1:19" x14ac:dyDescent="0.25">
      <c r="A55" s="13" t="s">
        <v>137</v>
      </c>
      <c r="B55" s="1" t="s">
        <v>100</v>
      </c>
      <c r="C55" s="1" t="s">
        <v>50</v>
      </c>
      <c r="D55" s="1" t="s">
        <v>12</v>
      </c>
      <c r="E55" s="1">
        <v>64</v>
      </c>
      <c r="F55" s="1">
        <v>1</v>
      </c>
      <c r="G55" s="1">
        <v>64</v>
      </c>
      <c r="H55" s="1" t="s">
        <v>13</v>
      </c>
      <c r="I55" s="1" t="s">
        <v>14</v>
      </c>
      <c r="J55" s="1" t="s">
        <v>23</v>
      </c>
      <c r="K55" s="2">
        <v>44991</v>
      </c>
      <c r="L55" s="2"/>
      <c r="M55" s="2">
        <v>44998</v>
      </c>
      <c r="N55" t="str">
        <f t="shared" si="0"/>
        <v>Yes</v>
      </c>
      <c r="O55" t="str">
        <f>_xlfn.XLOOKUP(C55,'Product Master'!$A$2:$A$23,'Product Master'!$C$2:$C$23)</f>
        <v>Toys</v>
      </c>
      <c r="P55" t="str">
        <f t="shared" si="1"/>
        <v>NA</v>
      </c>
      <c r="Q55" t="str">
        <f>_xlfn.XLOOKUP(B55,'Customer Master'!$A$2:$A$50,'Customer Master'!$B$2:$B$50)</f>
        <v>Grace Scott</v>
      </c>
      <c r="R55" t="str" cm="1">
        <f t="array" ref="R55">_xlfn.IFS(P55="NA","NA",P55&lt;=2,"Fast",P55&gt;=2,"Slow")</f>
        <v>NA</v>
      </c>
      <c r="S55" t="str">
        <f>_xlfn.XLOOKUP(C55,'Product Master'!$A$2:$A$23,'Product Master'!$B$2:$B$23)</f>
        <v>Leg Set</v>
      </c>
    </row>
    <row r="56" spans="1:19" x14ac:dyDescent="0.25">
      <c r="A56" s="13" t="s">
        <v>138</v>
      </c>
      <c r="B56" s="1" t="s">
        <v>109</v>
      </c>
      <c r="C56" s="1" t="s">
        <v>32</v>
      </c>
      <c r="D56" s="1" t="s">
        <v>30</v>
      </c>
      <c r="E56" s="1">
        <v>36</v>
      </c>
      <c r="F56" s="1">
        <v>4</v>
      </c>
      <c r="G56" s="1">
        <v>144</v>
      </c>
      <c r="H56" s="1" t="s">
        <v>24</v>
      </c>
      <c r="I56" s="1" t="s">
        <v>19</v>
      </c>
      <c r="J56" s="1" t="s">
        <v>27</v>
      </c>
      <c r="K56" s="2">
        <v>44959</v>
      </c>
      <c r="L56" s="2">
        <v>44963</v>
      </c>
      <c r="M56" s="2"/>
      <c r="N56" t="str">
        <f t="shared" si="0"/>
        <v>No</v>
      </c>
      <c r="O56" t="str">
        <f>_xlfn.XLOOKUP(C56,'Product Master'!$A$2:$A$23,'Product Master'!$C$2:$C$23)</f>
        <v>Home</v>
      </c>
      <c r="P56">
        <f t="shared" si="1"/>
        <v>4</v>
      </c>
      <c r="Q56" t="str">
        <f>_xlfn.XLOOKUP(B56,'Customer Master'!$A$2:$A$50,'Customer Master'!$B$2:$B$50)</f>
        <v>Emily Johnson</v>
      </c>
      <c r="R56" t="str" cm="1">
        <f t="array" ref="R56">_xlfn.IFS(P56="NA","NA",P56&lt;=2,"Fast",P56&gt;=2,"Slow")</f>
        <v>Slow</v>
      </c>
      <c r="S56" t="str">
        <f>_xlfn.XLOOKUP(C56,'Product Master'!$A$2:$A$23,'Product Master'!$B$2:$B$23)</f>
        <v>Wall Clock</v>
      </c>
    </row>
    <row r="57" spans="1:19" x14ac:dyDescent="0.25">
      <c r="A57" s="13" t="s">
        <v>139</v>
      </c>
      <c r="B57" s="1" t="s">
        <v>140</v>
      </c>
      <c r="C57" s="1" t="s">
        <v>50</v>
      </c>
      <c r="D57" s="1" t="s">
        <v>33</v>
      </c>
      <c r="E57" s="1">
        <v>65</v>
      </c>
      <c r="F57" s="1">
        <v>1</v>
      </c>
      <c r="G57" s="1">
        <v>65</v>
      </c>
      <c r="H57" s="1" t="s">
        <v>28</v>
      </c>
      <c r="I57" s="1" t="s">
        <v>19</v>
      </c>
      <c r="J57" s="1" t="s">
        <v>37</v>
      </c>
      <c r="K57" s="2">
        <v>45217</v>
      </c>
      <c r="L57" s="2">
        <v>45220</v>
      </c>
      <c r="M57" s="2"/>
      <c r="N57" t="str">
        <f t="shared" si="0"/>
        <v>No</v>
      </c>
      <c r="O57" t="str">
        <f>_xlfn.XLOOKUP(C57,'Product Master'!$A$2:$A$23,'Product Master'!$C$2:$C$23)</f>
        <v>Toys</v>
      </c>
      <c r="P57">
        <f t="shared" si="1"/>
        <v>3</v>
      </c>
      <c r="Q57" t="str">
        <f>_xlfn.XLOOKUP(B57,'Customer Master'!$A$2:$A$50,'Customer Master'!$B$2:$B$50)</f>
        <v>Emma King</v>
      </c>
      <c r="R57" t="str" cm="1">
        <f t="array" ref="R57">_xlfn.IFS(P57="NA","NA",P57&lt;=2,"Fast",P57&gt;=2,"Slow")</f>
        <v>Slow</v>
      </c>
      <c r="S57" t="str">
        <f>_xlfn.XLOOKUP(C57,'Product Master'!$A$2:$A$23,'Product Master'!$B$2:$B$23)</f>
        <v>Leg Set</v>
      </c>
    </row>
    <row r="58" spans="1:19" x14ac:dyDescent="0.25">
      <c r="A58" s="13" t="s">
        <v>141</v>
      </c>
      <c r="B58" s="1" t="s">
        <v>89</v>
      </c>
      <c r="C58" s="1" t="s">
        <v>40</v>
      </c>
      <c r="D58" s="1" t="s">
        <v>30</v>
      </c>
      <c r="E58" s="1">
        <v>26</v>
      </c>
      <c r="F58" s="1">
        <v>1</v>
      </c>
      <c r="G58" s="1">
        <v>26</v>
      </c>
      <c r="H58" s="1" t="s">
        <v>13</v>
      </c>
      <c r="I58" s="1" t="s">
        <v>19</v>
      </c>
      <c r="J58" s="1" t="s">
        <v>15</v>
      </c>
      <c r="K58" s="2">
        <v>44933</v>
      </c>
      <c r="L58" s="2">
        <v>44935</v>
      </c>
      <c r="M58" s="2"/>
      <c r="N58" t="str">
        <f t="shared" si="0"/>
        <v>No</v>
      </c>
      <c r="O58" t="str">
        <f>_xlfn.XLOOKUP(C58,'Product Master'!$A$2:$A$23,'Product Master'!$C$2:$C$23)</f>
        <v>Fashion</v>
      </c>
      <c r="P58">
        <f t="shared" si="1"/>
        <v>2</v>
      </c>
      <c r="Q58" t="str">
        <f>_xlfn.XLOOKUP(B58,'Customer Master'!$A$2:$A$50,'Customer Master'!$B$2:$B$50)</f>
        <v>Emma King</v>
      </c>
      <c r="R58" t="str" cm="1">
        <f t="array" ref="R58">_xlfn.IFS(P58="NA","NA",P58&lt;=2,"Fast",P58&gt;=2,"Slow")</f>
        <v>Fast</v>
      </c>
      <c r="S58" t="str">
        <f>_xlfn.XLOOKUP(C58,'Product Master'!$A$2:$A$23,'Product Master'!$B$2:$B$23)</f>
        <v>T-Shirt</v>
      </c>
    </row>
    <row r="59" spans="1:19" x14ac:dyDescent="0.25">
      <c r="A59" s="13" t="s">
        <v>142</v>
      </c>
      <c r="B59" s="1" t="s">
        <v>55</v>
      </c>
      <c r="C59" s="1" t="s">
        <v>46</v>
      </c>
      <c r="D59" s="1" t="s">
        <v>12</v>
      </c>
      <c r="E59" s="1">
        <v>11</v>
      </c>
      <c r="F59" s="1">
        <v>5</v>
      </c>
      <c r="G59" s="1">
        <v>55</v>
      </c>
      <c r="H59" s="1" t="s">
        <v>18</v>
      </c>
      <c r="I59" s="1" t="s">
        <v>22</v>
      </c>
      <c r="J59" s="1" t="s">
        <v>37</v>
      </c>
      <c r="K59" s="2">
        <v>45054</v>
      </c>
      <c r="L59" s="2"/>
      <c r="M59" s="2"/>
      <c r="N59" t="str">
        <f t="shared" si="0"/>
        <v>No</v>
      </c>
      <c r="O59" t="str">
        <f>_xlfn.XLOOKUP(C59,'Product Master'!$A$2:$A$23,'Product Master'!$C$2:$C$23)</f>
        <v>Books</v>
      </c>
      <c r="P59" t="str">
        <f t="shared" si="1"/>
        <v>NA</v>
      </c>
      <c r="Q59" t="str">
        <f>_xlfn.XLOOKUP(B59,'Customer Master'!$A$2:$A$50,'Customer Master'!$B$2:$B$50)</f>
        <v>Zoe Mitchell</v>
      </c>
      <c r="R59" t="str" cm="1">
        <f t="array" ref="R59">_xlfn.IFS(P59="NA","NA",P59&lt;=2,"Fast",P59&gt;=2,"Slow")</f>
        <v>NA</v>
      </c>
      <c r="S59" t="str">
        <f>_xlfn.XLOOKUP(C59,'Product Master'!$A$2:$A$23,'Product Master'!$B$2:$B$23)</f>
        <v>Magazine</v>
      </c>
    </row>
    <row r="60" spans="1:19" x14ac:dyDescent="0.25">
      <c r="A60" s="13" t="s">
        <v>143</v>
      </c>
      <c r="B60" s="1" t="s">
        <v>144</v>
      </c>
      <c r="C60" s="1" t="s">
        <v>20</v>
      </c>
      <c r="D60" s="1" t="s">
        <v>12</v>
      </c>
      <c r="E60" s="1">
        <v>195</v>
      </c>
      <c r="F60" s="1">
        <v>4</v>
      </c>
      <c r="G60" s="1">
        <v>780</v>
      </c>
      <c r="H60" s="1" t="s">
        <v>24</v>
      </c>
      <c r="I60" s="1" t="s">
        <v>14</v>
      </c>
      <c r="J60" s="1" t="s">
        <v>37</v>
      </c>
      <c r="K60" s="2">
        <v>45018</v>
      </c>
      <c r="L60" s="2"/>
      <c r="M60" s="2">
        <v>45021</v>
      </c>
      <c r="N60" t="str">
        <f t="shared" si="0"/>
        <v>Yes</v>
      </c>
      <c r="O60" t="str">
        <f>_xlfn.XLOOKUP(C60,'Product Master'!$A$2:$A$23,'Product Master'!$C$2:$C$23)</f>
        <v>Home</v>
      </c>
      <c r="P60" t="str">
        <f t="shared" si="1"/>
        <v>NA</v>
      </c>
      <c r="Q60" t="str">
        <f>_xlfn.XLOOKUP(B60,'Customer Master'!$A$2:$A$50,'Customer Master'!$B$2:$B$50)</f>
        <v>Ethan Davis</v>
      </c>
      <c r="R60" t="str" cm="1">
        <f t="array" ref="R60">_xlfn.IFS(P60="NA","NA",P60&lt;=2,"Fast",P60&gt;=2,"Slow")</f>
        <v>NA</v>
      </c>
      <c r="S60" t="str">
        <f>_xlfn.XLOOKUP(C60,'Product Master'!$A$2:$A$23,'Product Master'!$B$2:$B$23)</f>
        <v>Vacuum Cleaner</v>
      </c>
    </row>
    <row r="61" spans="1:19" x14ac:dyDescent="0.25">
      <c r="A61" s="13" t="s">
        <v>145</v>
      </c>
      <c r="B61" s="1" t="s">
        <v>68</v>
      </c>
      <c r="C61" s="1" t="s">
        <v>34</v>
      </c>
      <c r="D61" s="1" t="s">
        <v>33</v>
      </c>
      <c r="E61" s="1">
        <v>44</v>
      </c>
      <c r="F61" s="1">
        <v>5</v>
      </c>
      <c r="G61" s="1">
        <v>220</v>
      </c>
      <c r="H61" s="1" t="s">
        <v>13</v>
      </c>
      <c r="I61" s="1" t="s">
        <v>14</v>
      </c>
      <c r="J61" s="1" t="s">
        <v>23</v>
      </c>
      <c r="K61" s="2">
        <v>45210</v>
      </c>
      <c r="L61" s="2"/>
      <c r="M61" s="2">
        <v>45211</v>
      </c>
      <c r="N61" t="str">
        <f t="shared" si="0"/>
        <v>Yes</v>
      </c>
      <c r="O61" t="str">
        <f>_xlfn.XLOOKUP(C61,'Product Master'!$A$2:$A$23,'Product Master'!$C$2:$C$23)</f>
        <v>Fashion</v>
      </c>
      <c r="P61" t="str">
        <f t="shared" si="1"/>
        <v>NA</v>
      </c>
      <c r="Q61" t="str">
        <f>_xlfn.XLOOKUP(B61,'Customer Master'!$A$2:$A$50,'Customer Master'!$B$2:$B$50)</f>
        <v>Ava Robinson</v>
      </c>
      <c r="R61" t="str" cm="1">
        <f t="array" ref="R61">_xlfn.IFS(P61="NA","NA",P61&lt;=2,"Fast",P61&gt;=2,"Slow")</f>
        <v>NA</v>
      </c>
      <c r="S61" t="str">
        <f>_xlfn.XLOOKUP(C61,'Product Master'!$A$2:$A$23,'Product Master'!$B$2:$B$23)</f>
        <v>Formal Shirt</v>
      </c>
    </row>
    <row r="62" spans="1:19" x14ac:dyDescent="0.25">
      <c r="A62" s="13" t="s">
        <v>146</v>
      </c>
      <c r="B62" s="1" t="s">
        <v>147</v>
      </c>
      <c r="C62" s="1" t="s">
        <v>42</v>
      </c>
      <c r="D62" s="1" t="s">
        <v>17</v>
      </c>
      <c r="E62" s="1">
        <v>69</v>
      </c>
      <c r="F62" s="1">
        <v>4</v>
      </c>
      <c r="G62" s="1">
        <v>276</v>
      </c>
      <c r="H62" s="1" t="s">
        <v>31</v>
      </c>
      <c r="I62" s="1" t="s">
        <v>22</v>
      </c>
      <c r="J62" s="1" t="s">
        <v>15</v>
      </c>
      <c r="K62" s="2">
        <v>45179</v>
      </c>
      <c r="L62" s="2"/>
      <c r="M62" s="2"/>
      <c r="N62" t="str">
        <f t="shared" si="0"/>
        <v>No</v>
      </c>
      <c r="O62" t="str">
        <f>_xlfn.XLOOKUP(C62,'Product Master'!$A$2:$A$23,'Product Master'!$C$2:$C$23)</f>
        <v>Books</v>
      </c>
      <c r="P62" t="str">
        <f t="shared" si="1"/>
        <v>NA</v>
      </c>
      <c r="Q62" t="str">
        <f>_xlfn.XLOOKUP(B62,'Customer Master'!$A$2:$A$50,'Customer Master'!$B$2:$B$50)</f>
        <v>Scarlett Adams</v>
      </c>
      <c r="R62" t="str" cm="1">
        <f t="array" ref="R62">_xlfn.IFS(P62="NA","NA",P62&lt;=2,"Fast",P62&gt;=2,"Slow")</f>
        <v>NA</v>
      </c>
      <c r="S62" t="str">
        <f>_xlfn.XLOOKUP(C62,'Product Master'!$A$2:$A$23,'Product Master'!$B$2:$B$23)</f>
        <v>Textbook</v>
      </c>
    </row>
    <row r="63" spans="1:19" x14ac:dyDescent="0.25">
      <c r="A63" s="13" t="s">
        <v>148</v>
      </c>
      <c r="B63" s="1" t="s">
        <v>149</v>
      </c>
      <c r="C63" s="1" t="s">
        <v>43</v>
      </c>
      <c r="D63" s="1" t="s">
        <v>12</v>
      </c>
      <c r="E63" s="1">
        <v>815</v>
      </c>
      <c r="F63" s="1">
        <v>4</v>
      </c>
      <c r="G63" s="1">
        <v>3260</v>
      </c>
      <c r="H63" s="1" t="s">
        <v>18</v>
      </c>
      <c r="I63" s="1" t="s">
        <v>19</v>
      </c>
      <c r="J63" s="1" t="s">
        <v>23</v>
      </c>
      <c r="K63" s="2">
        <v>45252</v>
      </c>
      <c r="L63" s="2">
        <v>45259</v>
      </c>
      <c r="M63" s="2"/>
      <c r="N63" t="str">
        <f t="shared" si="0"/>
        <v>No</v>
      </c>
      <c r="O63" t="str">
        <f>_xlfn.XLOOKUP(C63,'Product Master'!$A$2:$A$23,'Product Master'!$C$2:$C$23)</f>
        <v>Electronics</v>
      </c>
      <c r="P63">
        <f t="shared" si="1"/>
        <v>7</v>
      </c>
      <c r="Q63" t="str">
        <f>_xlfn.XLOOKUP(B63,'Customer Master'!$A$2:$A$50,'Customer Master'!$B$2:$B$50)</f>
        <v>Elijah Lewis</v>
      </c>
      <c r="R63" t="str" cm="1">
        <f t="array" ref="R63">_xlfn.IFS(P63="NA","NA",P63&lt;=2,"Fast",P63&gt;=2,"Slow")</f>
        <v>Slow</v>
      </c>
      <c r="S63" t="str">
        <f>_xlfn.XLOOKUP(C63,'Product Master'!$A$2:$A$23,'Product Master'!$B$2:$B$23)</f>
        <v>Smartphone</v>
      </c>
    </row>
    <row r="64" spans="1:19" x14ac:dyDescent="0.25">
      <c r="A64" s="13" t="s">
        <v>150</v>
      </c>
      <c r="B64" s="1" t="s">
        <v>151</v>
      </c>
      <c r="C64" s="1" t="s">
        <v>40</v>
      </c>
      <c r="D64" s="1" t="s">
        <v>17</v>
      </c>
      <c r="E64" s="1">
        <v>27</v>
      </c>
      <c r="F64" s="1">
        <v>1</v>
      </c>
      <c r="G64" s="1">
        <v>27</v>
      </c>
      <c r="H64" s="1" t="s">
        <v>31</v>
      </c>
      <c r="I64" s="1" t="s">
        <v>22</v>
      </c>
      <c r="J64" s="1" t="s">
        <v>27</v>
      </c>
      <c r="K64" s="2">
        <v>45048</v>
      </c>
      <c r="L64" s="2"/>
      <c r="M64" s="2"/>
      <c r="N64" t="str">
        <f t="shared" si="0"/>
        <v>No</v>
      </c>
      <c r="O64" t="str">
        <f>_xlfn.XLOOKUP(C64,'Product Master'!$A$2:$A$23,'Product Master'!$C$2:$C$23)</f>
        <v>Fashion</v>
      </c>
      <c r="P64" t="str">
        <f t="shared" si="1"/>
        <v>NA</v>
      </c>
      <c r="Q64" t="str">
        <f>_xlfn.XLOOKUP(B64,'Customer Master'!$A$2:$A$50,'Customer Master'!$B$2:$B$50)</f>
        <v>Noah Wilson</v>
      </c>
      <c r="R64" t="str" cm="1">
        <f t="array" ref="R64">_xlfn.IFS(P64="NA","NA",P64&lt;=2,"Fast",P64&gt;=2,"Slow")</f>
        <v>NA</v>
      </c>
      <c r="S64" t="str">
        <f>_xlfn.XLOOKUP(C64,'Product Master'!$A$2:$A$23,'Product Master'!$B$2:$B$23)</f>
        <v>T-Shirt</v>
      </c>
    </row>
    <row r="65" spans="1:19" x14ac:dyDescent="0.25">
      <c r="A65" s="13" t="s">
        <v>152</v>
      </c>
      <c r="B65" s="1" t="s">
        <v>153</v>
      </c>
      <c r="C65" s="1" t="s">
        <v>35</v>
      </c>
      <c r="D65" s="1" t="s">
        <v>33</v>
      </c>
      <c r="E65" s="1">
        <v>139</v>
      </c>
      <c r="F65" s="1">
        <v>5</v>
      </c>
      <c r="G65" s="1">
        <v>695</v>
      </c>
      <c r="H65" s="1" t="s">
        <v>13</v>
      </c>
      <c r="I65" s="1" t="s">
        <v>19</v>
      </c>
      <c r="J65" s="1" t="s">
        <v>23</v>
      </c>
      <c r="K65" s="2">
        <v>45285</v>
      </c>
      <c r="L65" s="2">
        <v>45289</v>
      </c>
      <c r="M65" s="2"/>
      <c r="N65" t="str">
        <f t="shared" si="0"/>
        <v>No</v>
      </c>
      <c r="O65" t="str">
        <f>_xlfn.XLOOKUP(C65,'Product Master'!$A$2:$A$23,'Product Master'!$C$2:$C$23)</f>
        <v>Home</v>
      </c>
      <c r="P65">
        <f t="shared" si="1"/>
        <v>4</v>
      </c>
      <c r="Q65" t="str">
        <f>_xlfn.XLOOKUP(B65,'Customer Master'!$A$2:$A$50,'Customer Master'!$B$2:$B$50)</f>
        <v>Noah Wilson</v>
      </c>
      <c r="R65" t="str" cm="1">
        <f t="array" ref="R65">_xlfn.IFS(P65="NA","NA",P65&lt;=2,"Fast",P65&gt;=2,"Slow")</f>
        <v>Slow</v>
      </c>
      <c r="S65" t="str">
        <f>_xlfn.XLOOKUP(C65,'Product Master'!$A$2:$A$23,'Product Master'!$B$2:$B$23)</f>
        <v>Cookware Set</v>
      </c>
    </row>
    <row r="66" spans="1:19" x14ac:dyDescent="0.25">
      <c r="A66" s="13" t="s">
        <v>154</v>
      </c>
      <c r="B66" s="1" t="s">
        <v>64</v>
      </c>
      <c r="C66" s="1" t="s">
        <v>42</v>
      </c>
      <c r="D66" s="1" t="s">
        <v>21</v>
      </c>
      <c r="E66" s="1">
        <v>69</v>
      </c>
      <c r="F66" s="1">
        <v>3</v>
      </c>
      <c r="G66" s="1">
        <v>207</v>
      </c>
      <c r="H66" s="1" t="s">
        <v>24</v>
      </c>
      <c r="I66" s="1" t="s">
        <v>14</v>
      </c>
      <c r="J66" s="1" t="s">
        <v>27</v>
      </c>
      <c r="K66" s="2">
        <v>45217</v>
      </c>
      <c r="L66" s="2"/>
      <c r="M66" s="2">
        <v>45219</v>
      </c>
      <c r="N66" t="str">
        <f t="shared" si="0"/>
        <v>Yes</v>
      </c>
      <c r="O66" t="str">
        <f>_xlfn.XLOOKUP(C66,'Product Master'!$A$2:$A$23,'Product Master'!$C$2:$C$23)</f>
        <v>Books</v>
      </c>
      <c r="P66" t="str">
        <f t="shared" si="1"/>
        <v>NA</v>
      </c>
      <c r="Q66" t="str">
        <f>_xlfn.XLOOKUP(B66,'Customer Master'!$A$2:$A$50,'Customer Master'!$B$2:$B$50)</f>
        <v>Jackson Allen</v>
      </c>
      <c r="R66" t="str" cm="1">
        <f t="array" ref="R66">_xlfn.IFS(P66="NA","NA",P66&lt;=2,"Fast",P66&gt;=2,"Slow")</f>
        <v>NA</v>
      </c>
      <c r="S66" t="str">
        <f>_xlfn.XLOOKUP(C66,'Product Master'!$A$2:$A$23,'Product Master'!$B$2:$B$23)</f>
        <v>Textbook</v>
      </c>
    </row>
    <row r="67" spans="1:19" x14ac:dyDescent="0.25">
      <c r="A67" s="13" t="s">
        <v>155</v>
      </c>
      <c r="B67" s="1" t="s">
        <v>64</v>
      </c>
      <c r="C67" s="1" t="s">
        <v>34</v>
      </c>
      <c r="D67" s="1" t="s">
        <v>33</v>
      </c>
      <c r="E67" s="1">
        <v>42</v>
      </c>
      <c r="F67" s="1">
        <v>1</v>
      </c>
      <c r="G67" s="1">
        <v>42</v>
      </c>
      <c r="H67" s="1" t="s">
        <v>13</v>
      </c>
      <c r="I67" s="1" t="s">
        <v>14</v>
      </c>
      <c r="J67" s="1" t="s">
        <v>15</v>
      </c>
      <c r="K67" s="2">
        <v>45066</v>
      </c>
      <c r="L67" s="2"/>
      <c r="M67" s="2">
        <v>45067</v>
      </c>
      <c r="N67" t="str">
        <f t="shared" ref="N67:N101" si="2">IF(OR(I67="Cancelled",M67&lt;&gt;""),"Yes","No")</f>
        <v>Yes</v>
      </c>
      <c r="O67" t="str">
        <f>_xlfn.XLOOKUP(C67,'Product Master'!$A$2:$A$23,'Product Master'!$C$2:$C$23)</f>
        <v>Fashion</v>
      </c>
      <c r="P67" t="str">
        <f t="shared" ref="P67:P101" si="3">IF(L67&lt;&gt;"",L67-K67,"NA")</f>
        <v>NA</v>
      </c>
      <c r="Q67" t="str">
        <f>_xlfn.XLOOKUP(B67,'Customer Master'!$A$2:$A$50,'Customer Master'!$B$2:$B$50)</f>
        <v>Jackson Allen</v>
      </c>
      <c r="R67" t="str" cm="1">
        <f t="array" ref="R67">_xlfn.IFS(P67="NA","NA",P67&lt;=2,"Fast",P67&gt;=2,"Slow")</f>
        <v>NA</v>
      </c>
      <c r="S67" t="str">
        <f>_xlfn.XLOOKUP(C67,'Product Master'!$A$2:$A$23,'Product Master'!$B$2:$B$23)</f>
        <v>Formal Shirt</v>
      </c>
    </row>
    <row r="68" spans="1:19" x14ac:dyDescent="0.25">
      <c r="A68" s="13" t="s">
        <v>156</v>
      </c>
      <c r="B68" s="1" t="s">
        <v>157</v>
      </c>
      <c r="C68" s="1" t="s">
        <v>49</v>
      </c>
      <c r="D68" s="1" t="s">
        <v>12</v>
      </c>
      <c r="E68" s="1">
        <v>31</v>
      </c>
      <c r="F68" s="1">
        <v>4</v>
      </c>
      <c r="G68" s="1">
        <v>124</v>
      </c>
      <c r="H68" s="1" t="s">
        <v>18</v>
      </c>
      <c r="I68" s="1" t="s">
        <v>19</v>
      </c>
      <c r="J68" s="1" t="s">
        <v>25</v>
      </c>
      <c r="K68" s="2">
        <v>45135</v>
      </c>
      <c r="L68" s="2">
        <v>45137</v>
      </c>
      <c r="M68" s="2"/>
      <c r="N68" t="str">
        <f t="shared" si="2"/>
        <v>No</v>
      </c>
      <c r="O68" t="str">
        <f>_xlfn.XLOOKUP(C68,'Product Master'!$A$2:$A$23,'Product Master'!$C$2:$C$23)</f>
        <v>Toys</v>
      </c>
      <c r="P68">
        <f t="shared" si="3"/>
        <v>2</v>
      </c>
      <c r="Q68" t="e">
        <f>_xlfn.XLOOKUP(B68,'Customer Master'!$A$2:$A$50,'Customer Master'!$B$2:$B$50)</f>
        <v>#N/A</v>
      </c>
      <c r="R68" t="str" cm="1">
        <f t="array" ref="R68">_xlfn.IFS(P68="NA","NA",P68&lt;=2,"Fast",P68&gt;=2,"Slow")</f>
        <v>Fast</v>
      </c>
      <c r="S68" t="str">
        <f>_xlfn.XLOOKUP(C68,'Product Master'!$A$2:$A$23,'Product Master'!$B$2:$B$23)</f>
        <v>Puzzle</v>
      </c>
    </row>
    <row r="69" spans="1:19" x14ac:dyDescent="0.25">
      <c r="A69" s="13" t="s">
        <v>158</v>
      </c>
      <c r="B69" s="1" t="s">
        <v>75</v>
      </c>
      <c r="C69" s="1" t="s">
        <v>29</v>
      </c>
      <c r="D69" s="1" t="s">
        <v>33</v>
      </c>
      <c r="E69" s="1">
        <v>104</v>
      </c>
      <c r="F69" s="1">
        <v>3</v>
      </c>
      <c r="G69" s="1">
        <v>312</v>
      </c>
      <c r="H69" s="1" t="s">
        <v>18</v>
      </c>
      <c r="I69" s="1" t="s">
        <v>22</v>
      </c>
      <c r="J69" s="1" t="s">
        <v>25</v>
      </c>
      <c r="K69" s="2">
        <v>45278</v>
      </c>
      <c r="L69" s="2"/>
      <c r="M69" s="2"/>
      <c r="N69" t="str">
        <f t="shared" si="2"/>
        <v>No</v>
      </c>
      <c r="O69" t="str">
        <f>_xlfn.XLOOKUP(C69,'Product Master'!$A$2:$A$23,'Product Master'!$C$2:$C$23)</f>
        <v>Electronics</v>
      </c>
      <c r="P69" t="str">
        <f t="shared" si="3"/>
        <v>NA</v>
      </c>
      <c r="Q69" t="str">
        <f>_xlfn.XLOOKUP(B69,'Customer Master'!$A$2:$A$50,'Customer Master'!$B$2:$B$50)</f>
        <v>Emily Johnson</v>
      </c>
      <c r="R69" t="str" cm="1">
        <f t="array" ref="R69">_xlfn.IFS(P69="NA","NA",P69&lt;=2,"Fast",P69&gt;=2,"Slow")</f>
        <v>NA</v>
      </c>
      <c r="S69" t="str">
        <f>_xlfn.XLOOKUP(C69,'Product Master'!$A$2:$A$23,'Product Master'!$B$2:$B$23)</f>
        <v>Bluetooth Speaker</v>
      </c>
    </row>
    <row r="70" spans="1:19" x14ac:dyDescent="0.25">
      <c r="A70" s="13" t="s">
        <v>159</v>
      </c>
      <c r="B70" s="1" t="s">
        <v>60</v>
      </c>
      <c r="C70" s="1" t="s">
        <v>26</v>
      </c>
      <c r="D70" s="1" t="s">
        <v>17</v>
      </c>
      <c r="E70" s="1">
        <v>58</v>
      </c>
      <c r="F70" s="1">
        <v>2</v>
      </c>
      <c r="G70" s="1">
        <v>116</v>
      </c>
      <c r="H70" s="1" t="s">
        <v>13</v>
      </c>
      <c r="I70" s="1" t="s">
        <v>14</v>
      </c>
      <c r="J70" s="1" t="s">
        <v>23</v>
      </c>
      <c r="K70" s="2">
        <v>45109</v>
      </c>
      <c r="L70" s="2"/>
      <c r="M70" s="2">
        <v>45114</v>
      </c>
      <c r="N70" t="str">
        <f t="shared" si="2"/>
        <v>Yes</v>
      </c>
      <c r="O70" t="str">
        <f>_xlfn.XLOOKUP(C70,'Product Master'!$A$2:$A$23,'Product Master'!$C$2:$C$23)</f>
        <v>Fashion</v>
      </c>
      <c r="P70" t="str">
        <f t="shared" si="3"/>
        <v>NA</v>
      </c>
      <c r="Q70" t="str">
        <f>_xlfn.XLOOKUP(B70,'Customer Master'!$A$2:$A$50,'Customer Master'!$B$2:$B$50)</f>
        <v>Grace Ward</v>
      </c>
      <c r="R70" t="str" cm="1">
        <f t="array" ref="R70">_xlfn.IFS(P70="NA","NA",P70&lt;=2,"Fast",P70&gt;=2,"Slow")</f>
        <v>NA</v>
      </c>
      <c r="S70" t="str">
        <f>_xlfn.XLOOKUP(C70,'Product Master'!$A$2:$A$23,'Product Master'!$B$2:$B$23)</f>
        <v>Jeans</v>
      </c>
    </row>
    <row r="71" spans="1:19" x14ac:dyDescent="0.25">
      <c r="A71" s="13" t="s">
        <v>160</v>
      </c>
      <c r="B71" s="1" t="s">
        <v>64</v>
      </c>
      <c r="C71" s="1" t="s">
        <v>50</v>
      </c>
      <c r="D71" s="1" t="s">
        <v>33</v>
      </c>
      <c r="E71" s="1">
        <v>62</v>
      </c>
      <c r="F71" s="1">
        <v>2</v>
      </c>
      <c r="G71" s="1">
        <v>124</v>
      </c>
      <c r="H71" s="1" t="s">
        <v>31</v>
      </c>
      <c r="I71" s="1" t="s">
        <v>14</v>
      </c>
      <c r="J71" s="1" t="s">
        <v>15</v>
      </c>
      <c r="K71" s="2">
        <v>45208</v>
      </c>
      <c r="L71" s="2"/>
      <c r="M71" s="2">
        <v>45209</v>
      </c>
      <c r="N71" t="str">
        <f t="shared" si="2"/>
        <v>Yes</v>
      </c>
      <c r="O71" t="str">
        <f>_xlfn.XLOOKUP(C71,'Product Master'!$A$2:$A$23,'Product Master'!$C$2:$C$23)</f>
        <v>Toys</v>
      </c>
      <c r="P71" t="str">
        <f t="shared" si="3"/>
        <v>NA</v>
      </c>
      <c r="Q71" t="str">
        <f>_xlfn.XLOOKUP(B71,'Customer Master'!$A$2:$A$50,'Customer Master'!$B$2:$B$50)</f>
        <v>Jackson Allen</v>
      </c>
      <c r="R71" t="str" cm="1">
        <f t="array" ref="R71">_xlfn.IFS(P71="NA","NA",P71&lt;=2,"Fast",P71&gt;=2,"Slow")</f>
        <v>NA</v>
      </c>
      <c r="S71" t="str">
        <f>_xlfn.XLOOKUP(C71,'Product Master'!$A$2:$A$23,'Product Master'!$B$2:$B$23)</f>
        <v>Leg Set</v>
      </c>
    </row>
    <row r="72" spans="1:19" x14ac:dyDescent="0.25">
      <c r="A72" s="13" t="s">
        <v>161</v>
      </c>
      <c r="B72" s="1" t="s">
        <v>120</v>
      </c>
      <c r="C72" s="1" t="s">
        <v>34</v>
      </c>
      <c r="D72" s="1" t="s">
        <v>17</v>
      </c>
      <c r="E72" s="1">
        <v>43</v>
      </c>
      <c r="F72" s="1">
        <v>1</v>
      </c>
      <c r="G72" s="1">
        <v>43</v>
      </c>
      <c r="H72" s="1" t="s">
        <v>18</v>
      </c>
      <c r="I72" s="1" t="s">
        <v>19</v>
      </c>
      <c r="J72" s="1" t="s">
        <v>27</v>
      </c>
      <c r="K72" s="2">
        <v>45278</v>
      </c>
      <c r="L72" s="2">
        <v>45285</v>
      </c>
      <c r="M72" s="2"/>
      <c r="N72" t="str">
        <f t="shared" si="2"/>
        <v>No</v>
      </c>
      <c r="O72" t="str">
        <f>_xlfn.XLOOKUP(C72,'Product Master'!$A$2:$A$23,'Product Master'!$C$2:$C$23)</f>
        <v>Fashion</v>
      </c>
      <c r="P72">
        <f t="shared" si="3"/>
        <v>7</v>
      </c>
      <c r="Q72" t="str">
        <f>_xlfn.XLOOKUP(B72,'Customer Master'!$A$2:$A$50,'Customer Master'!$B$2:$B$50)</f>
        <v>Ava Robinson</v>
      </c>
      <c r="R72" t="str" cm="1">
        <f t="array" ref="R72">_xlfn.IFS(P72="NA","NA",P72&lt;=2,"Fast",P72&gt;=2,"Slow")</f>
        <v>Slow</v>
      </c>
      <c r="S72" t="str">
        <f>_xlfn.XLOOKUP(C72,'Product Master'!$A$2:$A$23,'Product Master'!$B$2:$B$23)</f>
        <v>Formal Shirt</v>
      </c>
    </row>
    <row r="73" spans="1:19" x14ac:dyDescent="0.25">
      <c r="A73" s="13" t="s">
        <v>162</v>
      </c>
      <c r="B73" s="1" t="s">
        <v>149</v>
      </c>
      <c r="C73" s="1" t="s">
        <v>50</v>
      </c>
      <c r="D73" s="1" t="s">
        <v>17</v>
      </c>
      <c r="E73" s="1">
        <v>62</v>
      </c>
      <c r="F73" s="1">
        <v>4</v>
      </c>
      <c r="G73" s="1">
        <v>248</v>
      </c>
      <c r="H73" s="1" t="s">
        <v>31</v>
      </c>
      <c r="I73" s="1" t="s">
        <v>22</v>
      </c>
      <c r="J73" s="1" t="s">
        <v>27</v>
      </c>
      <c r="K73" s="2">
        <v>44992</v>
      </c>
      <c r="L73" s="2"/>
      <c r="M73" s="2"/>
      <c r="N73" t="str">
        <f t="shared" si="2"/>
        <v>No</v>
      </c>
      <c r="O73" t="str">
        <f>_xlfn.XLOOKUP(C73,'Product Master'!$A$2:$A$23,'Product Master'!$C$2:$C$23)</f>
        <v>Toys</v>
      </c>
      <c r="P73" t="str">
        <f t="shared" si="3"/>
        <v>NA</v>
      </c>
      <c r="Q73" t="str">
        <f>_xlfn.XLOOKUP(B73,'Customer Master'!$A$2:$A$50,'Customer Master'!$B$2:$B$50)</f>
        <v>Elijah Lewis</v>
      </c>
      <c r="R73" t="str" cm="1">
        <f t="array" ref="R73">_xlfn.IFS(P73="NA","NA",P73&lt;=2,"Fast",P73&gt;=2,"Slow")</f>
        <v>NA</v>
      </c>
      <c r="S73" t="str">
        <f>_xlfn.XLOOKUP(C73,'Product Master'!$A$2:$A$23,'Product Master'!$B$2:$B$23)</f>
        <v>Leg Set</v>
      </c>
    </row>
    <row r="74" spans="1:19" x14ac:dyDescent="0.25">
      <c r="A74" s="13" t="s">
        <v>163</v>
      </c>
      <c r="B74" s="1" t="s">
        <v>95</v>
      </c>
      <c r="C74" s="1" t="s">
        <v>38</v>
      </c>
      <c r="D74" s="1" t="s">
        <v>12</v>
      </c>
      <c r="E74" s="1">
        <v>95</v>
      </c>
      <c r="F74" s="1">
        <v>2</v>
      </c>
      <c r="G74" s="1">
        <v>190</v>
      </c>
      <c r="H74" s="1" t="s">
        <v>24</v>
      </c>
      <c r="I74" s="1" t="s">
        <v>14</v>
      </c>
      <c r="J74" s="1" t="s">
        <v>25</v>
      </c>
      <c r="K74" s="2">
        <v>45129</v>
      </c>
      <c r="L74" s="2"/>
      <c r="M74" s="2">
        <v>45132</v>
      </c>
      <c r="N74" t="str">
        <f t="shared" si="2"/>
        <v>Yes</v>
      </c>
      <c r="O74" t="str">
        <f>_xlfn.XLOOKUP(C74,'Product Master'!$A$2:$A$23,'Product Master'!$C$2:$C$23)</f>
        <v>Fashion</v>
      </c>
      <c r="P74" t="str">
        <f t="shared" si="3"/>
        <v>NA</v>
      </c>
      <c r="Q74" t="str">
        <f>_xlfn.XLOOKUP(B74,'Customer Master'!$A$2:$A$50,'Customer Master'!$B$2:$B$50)</f>
        <v>Lily Bennett</v>
      </c>
      <c r="R74" t="str" cm="1">
        <f t="array" ref="R74">_xlfn.IFS(P74="NA","NA",P74&lt;=2,"Fast",P74&gt;=2,"Slow")</f>
        <v>NA</v>
      </c>
      <c r="S74" t="str">
        <f>_xlfn.XLOOKUP(C74,'Product Master'!$A$2:$A$23,'Product Master'!$B$2:$B$23)</f>
        <v>Shoes</v>
      </c>
    </row>
    <row r="75" spans="1:19" x14ac:dyDescent="0.25">
      <c r="A75" s="13" t="s">
        <v>164</v>
      </c>
      <c r="B75" s="1" t="s">
        <v>93</v>
      </c>
      <c r="C75" s="1" t="s">
        <v>32</v>
      </c>
      <c r="D75" s="1" t="s">
        <v>30</v>
      </c>
      <c r="E75" s="1">
        <v>36</v>
      </c>
      <c r="F75" s="1">
        <v>4</v>
      </c>
      <c r="G75" s="1">
        <v>144</v>
      </c>
      <c r="H75" s="1" t="s">
        <v>13</v>
      </c>
      <c r="I75" s="1" t="s">
        <v>19</v>
      </c>
      <c r="J75" s="1" t="s">
        <v>37</v>
      </c>
      <c r="K75" s="2">
        <v>44944</v>
      </c>
      <c r="L75" s="2">
        <v>44950</v>
      </c>
      <c r="M75" s="2"/>
      <c r="N75" t="str">
        <f t="shared" si="2"/>
        <v>No</v>
      </c>
      <c r="O75" t="str">
        <f>_xlfn.XLOOKUP(C75,'Product Master'!$A$2:$A$23,'Product Master'!$C$2:$C$23)</f>
        <v>Home</v>
      </c>
      <c r="P75">
        <f t="shared" si="3"/>
        <v>6</v>
      </c>
      <c r="Q75" t="str">
        <f>_xlfn.XLOOKUP(B75,'Customer Master'!$A$2:$A$50,'Customer Master'!$B$2:$B$50)</f>
        <v>Elijah Lewis</v>
      </c>
      <c r="R75" t="str" cm="1">
        <f t="array" ref="R75">_xlfn.IFS(P75="NA","NA",P75&lt;=2,"Fast",P75&gt;=2,"Slow")</f>
        <v>Slow</v>
      </c>
      <c r="S75" t="str">
        <f>_xlfn.XLOOKUP(C75,'Product Master'!$A$2:$A$23,'Product Master'!$B$2:$B$23)</f>
        <v>Wall Clock</v>
      </c>
    </row>
    <row r="76" spans="1:19" x14ac:dyDescent="0.25">
      <c r="A76" s="13" t="s">
        <v>165</v>
      </c>
      <c r="B76" s="1" t="s">
        <v>66</v>
      </c>
      <c r="C76" s="1" t="s">
        <v>39</v>
      </c>
      <c r="D76" s="1" t="s">
        <v>17</v>
      </c>
      <c r="E76" s="1">
        <v>73</v>
      </c>
      <c r="F76" s="1">
        <v>5</v>
      </c>
      <c r="G76" s="1">
        <v>365</v>
      </c>
      <c r="H76" s="1" t="s">
        <v>13</v>
      </c>
      <c r="I76" s="1" t="s">
        <v>22</v>
      </c>
      <c r="J76" s="1" t="s">
        <v>15</v>
      </c>
      <c r="K76" s="2">
        <v>45070</v>
      </c>
      <c r="L76" s="2"/>
      <c r="M76" s="2"/>
      <c r="N76" t="str">
        <f t="shared" si="2"/>
        <v>No</v>
      </c>
      <c r="O76" t="str">
        <f>_xlfn.XLOOKUP(C76,'Product Master'!$A$2:$A$23,'Product Master'!$C$2:$C$23)</f>
        <v>Electronics</v>
      </c>
      <c r="P76" t="str">
        <f t="shared" si="3"/>
        <v>NA</v>
      </c>
      <c r="Q76" t="str">
        <f>_xlfn.XLOOKUP(B76,'Customer Master'!$A$2:$A$50,'Customer Master'!$B$2:$B$50)</f>
        <v>Noah Wilson</v>
      </c>
      <c r="R76" t="str" cm="1">
        <f t="array" ref="R76">_xlfn.IFS(P76="NA","NA",P76&lt;=2,"Fast",P76&gt;=2,"Slow")</f>
        <v>NA</v>
      </c>
      <c r="S76" t="str">
        <f>_xlfn.XLOOKUP(C76,'Product Master'!$A$2:$A$23,'Product Master'!$B$2:$B$23)</f>
        <v>Gaming Mouse</v>
      </c>
    </row>
    <row r="77" spans="1:19" x14ac:dyDescent="0.25">
      <c r="A77" s="13" t="s">
        <v>166</v>
      </c>
      <c r="B77" s="1" t="s">
        <v>77</v>
      </c>
      <c r="C77" s="1" t="s">
        <v>34</v>
      </c>
      <c r="D77" s="1" t="s">
        <v>12</v>
      </c>
      <c r="E77" s="1">
        <v>43</v>
      </c>
      <c r="F77" s="1">
        <v>4</v>
      </c>
      <c r="G77" s="1">
        <v>172</v>
      </c>
      <c r="H77" s="1" t="s">
        <v>31</v>
      </c>
      <c r="I77" s="1" t="s">
        <v>19</v>
      </c>
      <c r="J77" s="1" t="s">
        <v>15</v>
      </c>
      <c r="K77" s="2">
        <v>45172</v>
      </c>
      <c r="L77" s="2">
        <v>45178</v>
      </c>
      <c r="M77" s="2"/>
      <c r="N77" t="str">
        <f t="shared" si="2"/>
        <v>No</v>
      </c>
      <c r="O77" t="str">
        <f>_xlfn.XLOOKUP(C77,'Product Master'!$A$2:$A$23,'Product Master'!$C$2:$C$23)</f>
        <v>Fashion</v>
      </c>
      <c r="P77">
        <f t="shared" si="3"/>
        <v>6</v>
      </c>
      <c r="Q77" t="str">
        <f>_xlfn.XLOOKUP(B77,'Customer Master'!$A$2:$A$50,'Customer Master'!$B$2:$B$50)</f>
        <v>Charlotte Reed</v>
      </c>
      <c r="R77" t="str" cm="1">
        <f t="array" ref="R77">_xlfn.IFS(P77="NA","NA",P77&lt;=2,"Fast",P77&gt;=2,"Slow")</f>
        <v>Slow</v>
      </c>
      <c r="S77" t="str">
        <f>_xlfn.XLOOKUP(C77,'Product Master'!$A$2:$A$23,'Product Master'!$B$2:$B$23)</f>
        <v>Formal Shirt</v>
      </c>
    </row>
    <row r="78" spans="1:19" x14ac:dyDescent="0.25">
      <c r="A78" s="13" t="s">
        <v>167</v>
      </c>
      <c r="B78" s="1" t="s">
        <v>151</v>
      </c>
      <c r="C78" s="1" t="s">
        <v>48</v>
      </c>
      <c r="D78" s="1" t="s">
        <v>33</v>
      </c>
      <c r="E78" s="1">
        <v>214</v>
      </c>
      <c r="F78" s="1">
        <v>5</v>
      </c>
      <c r="G78" s="1">
        <v>1070</v>
      </c>
      <c r="H78" s="1" t="s">
        <v>31</v>
      </c>
      <c r="I78" s="1" t="s">
        <v>19</v>
      </c>
      <c r="J78" s="1" t="s">
        <v>25</v>
      </c>
      <c r="K78" s="2">
        <v>45232</v>
      </c>
      <c r="L78" s="2">
        <v>45234</v>
      </c>
      <c r="M78" s="2"/>
      <c r="N78" t="str">
        <f t="shared" si="2"/>
        <v>No</v>
      </c>
      <c r="O78" t="str">
        <f>_xlfn.XLOOKUP(C78,'Product Master'!$A$2:$A$23,'Product Master'!$C$2:$C$23)</f>
        <v>Home</v>
      </c>
      <c r="P78">
        <f t="shared" si="3"/>
        <v>2</v>
      </c>
      <c r="Q78" t="str">
        <f>_xlfn.XLOOKUP(B78,'Customer Master'!$A$2:$A$50,'Customer Master'!$B$2:$B$50)</f>
        <v>Noah Wilson</v>
      </c>
      <c r="R78" t="str" cm="1">
        <f t="array" ref="R78">_xlfn.IFS(P78="NA","NA",P78&lt;=2,"Fast",P78&gt;=2,"Slow")</f>
        <v>Fast</v>
      </c>
      <c r="S78" t="str">
        <f>_xlfn.XLOOKUP(C78,'Product Master'!$A$2:$A$23,'Product Master'!$B$2:$B$23)</f>
        <v>Cookware Set Pro</v>
      </c>
    </row>
    <row r="79" spans="1:19" x14ac:dyDescent="0.25">
      <c r="A79" s="13" t="s">
        <v>168</v>
      </c>
      <c r="B79" s="1" t="s">
        <v>153</v>
      </c>
      <c r="C79" s="1" t="s">
        <v>44</v>
      </c>
      <c r="D79" s="1" t="s">
        <v>30</v>
      </c>
      <c r="E79" s="1">
        <v>42</v>
      </c>
      <c r="F79" s="1">
        <v>2</v>
      </c>
      <c r="G79" s="1">
        <v>84</v>
      </c>
      <c r="H79" s="1" t="s">
        <v>13</v>
      </c>
      <c r="I79" s="1" t="s">
        <v>14</v>
      </c>
      <c r="J79" s="1" t="s">
        <v>25</v>
      </c>
      <c r="K79" s="2">
        <v>45263</v>
      </c>
      <c r="L79" s="2"/>
      <c r="M79" s="2">
        <v>45266</v>
      </c>
      <c r="N79" t="str">
        <f t="shared" si="2"/>
        <v>Yes</v>
      </c>
      <c r="O79" t="str">
        <f>_xlfn.XLOOKUP(C79,'Product Master'!$A$2:$A$23,'Product Master'!$C$2:$C$23)</f>
        <v>Toys</v>
      </c>
      <c r="P79" t="str">
        <f t="shared" si="3"/>
        <v>NA</v>
      </c>
      <c r="Q79" t="str">
        <f>_xlfn.XLOOKUP(B79,'Customer Master'!$A$2:$A$50,'Customer Master'!$B$2:$B$50)</f>
        <v>Noah Wilson</v>
      </c>
      <c r="R79" t="str" cm="1">
        <f t="array" ref="R79">_xlfn.IFS(P79="NA","NA",P79&lt;=2,"Fast",P79&gt;=2,"Slow")</f>
        <v>NA</v>
      </c>
      <c r="S79" t="str">
        <f>_xlfn.XLOOKUP(C79,'Product Master'!$A$2:$A$23,'Product Master'!$B$2:$B$23)</f>
        <v>Action Figure</v>
      </c>
    </row>
    <row r="80" spans="1:19" x14ac:dyDescent="0.25">
      <c r="A80" s="13" t="s">
        <v>169</v>
      </c>
      <c r="B80" s="1" t="s">
        <v>153</v>
      </c>
      <c r="C80" s="1" t="s">
        <v>11</v>
      </c>
      <c r="D80" s="1" t="s">
        <v>12</v>
      </c>
      <c r="E80" s="1">
        <v>46</v>
      </c>
      <c r="F80" s="1">
        <v>1</v>
      </c>
      <c r="G80" s="1">
        <v>46</v>
      </c>
      <c r="H80" s="1" t="s">
        <v>28</v>
      </c>
      <c r="I80" s="1" t="s">
        <v>22</v>
      </c>
      <c r="J80" s="1" t="s">
        <v>25</v>
      </c>
      <c r="K80" s="2">
        <v>45017</v>
      </c>
      <c r="L80" s="2"/>
      <c r="M80" s="2"/>
      <c r="N80" t="str">
        <f t="shared" si="2"/>
        <v>No</v>
      </c>
      <c r="O80" t="str">
        <f>_xlfn.XLOOKUP(C80,'Product Master'!$A$2:$A$23,'Product Master'!$C$2:$C$23)</f>
        <v>Home</v>
      </c>
      <c r="P80" t="str">
        <f t="shared" si="3"/>
        <v>NA</v>
      </c>
      <c r="Q80" t="str">
        <f>_xlfn.XLOOKUP(B80,'Customer Master'!$A$2:$A$50,'Customer Master'!$B$2:$B$50)</f>
        <v>Noah Wilson</v>
      </c>
      <c r="R80" t="str" cm="1">
        <f t="array" ref="R80">_xlfn.IFS(P80="NA","NA",P80&lt;=2,"Fast",P80&gt;=2,"Slow")</f>
        <v>NA</v>
      </c>
      <c r="S80" t="str">
        <f>_xlfn.XLOOKUP(C80,'Product Master'!$A$2:$A$23,'Product Master'!$B$2:$B$23)</f>
        <v>Lamp</v>
      </c>
    </row>
    <row r="81" spans="1:19" x14ac:dyDescent="0.25">
      <c r="A81" s="13" t="s">
        <v>170</v>
      </c>
      <c r="B81" s="1" t="s">
        <v>113</v>
      </c>
      <c r="C81" s="1" t="s">
        <v>16</v>
      </c>
      <c r="D81" s="1" t="s">
        <v>17</v>
      </c>
      <c r="E81" s="1">
        <v>95</v>
      </c>
      <c r="F81" s="1">
        <v>4</v>
      </c>
      <c r="G81" s="1">
        <v>380</v>
      </c>
      <c r="H81" s="1" t="s">
        <v>18</v>
      </c>
      <c r="I81" s="1" t="s">
        <v>19</v>
      </c>
      <c r="J81" s="1" t="s">
        <v>25</v>
      </c>
      <c r="K81" s="2">
        <v>45215</v>
      </c>
      <c r="L81" s="2">
        <v>45218</v>
      </c>
      <c r="M81" s="2"/>
      <c r="N81" t="str">
        <f t="shared" si="2"/>
        <v>No</v>
      </c>
      <c r="O81" t="str">
        <f>_xlfn.XLOOKUP(C81,'Product Master'!$A$2:$A$23,'Product Master'!$C$2:$C$23)</f>
        <v>Toys</v>
      </c>
      <c r="P81">
        <f t="shared" si="3"/>
        <v>3</v>
      </c>
      <c r="Q81" t="str">
        <f>_xlfn.XLOOKUP(B81,'Customer Master'!$A$2:$A$50,'Customer Master'!$B$2:$B$50)</f>
        <v>Luke Gray</v>
      </c>
      <c r="R81" t="str" cm="1">
        <f t="array" ref="R81">_xlfn.IFS(P81="NA","NA",P81&lt;=2,"Fast",P81&gt;=2,"Slow")</f>
        <v>Slow</v>
      </c>
      <c r="S81" t="str">
        <f>_xlfn.XLOOKUP(C81,'Product Master'!$A$2:$A$23,'Product Master'!$B$2:$B$23)</f>
        <v>Doll House</v>
      </c>
    </row>
    <row r="82" spans="1:19" x14ac:dyDescent="0.25">
      <c r="A82" s="13" t="s">
        <v>171</v>
      </c>
      <c r="B82" s="1" t="s">
        <v>122</v>
      </c>
      <c r="C82" s="1" t="s">
        <v>47</v>
      </c>
      <c r="D82" s="1" t="s">
        <v>33</v>
      </c>
      <c r="E82" s="1">
        <v>174</v>
      </c>
      <c r="F82" s="1">
        <v>2</v>
      </c>
      <c r="G82" s="1">
        <v>348</v>
      </c>
      <c r="H82" s="1" t="s">
        <v>24</v>
      </c>
      <c r="I82" s="1" t="s">
        <v>22</v>
      </c>
      <c r="J82" s="1" t="s">
        <v>25</v>
      </c>
      <c r="K82" s="2">
        <v>45235</v>
      </c>
      <c r="L82" s="2"/>
      <c r="M82" s="2"/>
      <c r="N82" t="str">
        <f t="shared" si="2"/>
        <v>No</v>
      </c>
      <c r="O82" t="str">
        <f>_xlfn.XLOOKUP(C82,'Product Master'!$A$2:$A$23,'Product Master'!$C$2:$C$23)</f>
        <v>Electronics</v>
      </c>
      <c r="P82" t="str">
        <f t="shared" si="3"/>
        <v>NA</v>
      </c>
      <c r="Q82" t="str">
        <f>_xlfn.XLOOKUP(B82,'Customer Master'!$A$2:$A$50,'Customer Master'!$B$2:$B$50)</f>
        <v>James Miller</v>
      </c>
      <c r="R82" t="str" cm="1">
        <f t="array" ref="R82">_xlfn.IFS(P82="NA","NA",P82&lt;=2,"Fast",P82&gt;=2,"Slow")</f>
        <v>NA</v>
      </c>
      <c r="S82" t="str">
        <f>_xlfn.XLOOKUP(C82,'Product Master'!$A$2:$A$23,'Product Master'!$B$2:$B$23)</f>
        <v>Headphones</v>
      </c>
    </row>
    <row r="83" spans="1:19" x14ac:dyDescent="0.25">
      <c r="A83" s="13" t="s">
        <v>172</v>
      </c>
      <c r="B83" s="1" t="s">
        <v>73</v>
      </c>
      <c r="C83" s="1" t="s">
        <v>40</v>
      </c>
      <c r="D83" s="1" t="s">
        <v>12</v>
      </c>
      <c r="E83" s="1">
        <v>27</v>
      </c>
      <c r="F83" s="1">
        <v>5</v>
      </c>
      <c r="G83" s="1">
        <v>135</v>
      </c>
      <c r="H83" s="1" t="s">
        <v>18</v>
      </c>
      <c r="I83" s="1" t="s">
        <v>14</v>
      </c>
      <c r="J83" s="1" t="s">
        <v>27</v>
      </c>
      <c r="K83" s="2">
        <v>45092</v>
      </c>
      <c r="L83" s="2"/>
      <c r="M83" s="2">
        <v>45095</v>
      </c>
      <c r="N83" t="str">
        <f t="shared" si="2"/>
        <v>Yes</v>
      </c>
      <c r="O83" t="str">
        <f>_xlfn.XLOOKUP(C83,'Product Master'!$A$2:$A$23,'Product Master'!$C$2:$C$23)</f>
        <v>Fashion</v>
      </c>
      <c r="P83" t="str">
        <f t="shared" si="3"/>
        <v>NA</v>
      </c>
      <c r="Q83" t="str">
        <f>_xlfn.XLOOKUP(B83,'Customer Master'!$A$2:$A$50,'Customer Master'!$B$2:$B$50)</f>
        <v>Emily Johnson</v>
      </c>
      <c r="R83" t="str" cm="1">
        <f t="array" ref="R83">_xlfn.IFS(P83="NA","NA",P83&lt;=2,"Fast",P83&gt;=2,"Slow")</f>
        <v>NA</v>
      </c>
      <c r="S83" t="str">
        <f>_xlfn.XLOOKUP(C83,'Product Master'!$A$2:$A$23,'Product Master'!$B$2:$B$23)</f>
        <v>T-Shirt</v>
      </c>
    </row>
    <row r="84" spans="1:19" x14ac:dyDescent="0.25">
      <c r="A84" s="13" t="s">
        <v>173</v>
      </c>
      <c r="B84" s="1" t="s">
        <v>55</v>
      </c>
      <c r="C84" s="1" t="s">
        <v>40</v>
      </c>
      <c r="D84" s="1" t="s">
        <v>21</v>
      </c>
      <c r="E84" s="1">
        <v>27</v>
      </c>
      <c r="F84" s="1">
        <v>4</v>
      </c>
      <c r="G84" s="1">
        <v>108</v>
      </c>
      <c r="H84" s="1" t="s">
        <v>24</v>
      </c>
      <c r="I84" s="1" t="s">
        <v>19</v>
      </c>
      <c r="J84" s="1" t="s">
        <v>23</v>
      </c>
      <c r="K84" s="2">
        <v>45227</v>
      </c>
      <c r="L84" s="2">
        <v>45229</v>
      </c>
      <c r="M84" s="2"/>
      <c r="N84" t="str">
        <f t="shared" si="2"/>
        <v>No</v>
      </c>
      <c r="O84" t="str">
        <f>_xlfn.XLOOKUP(C84,'Product Master'!$A$2:$A$23,'Product Master'!$C$2:$C$23)</f>
        <v>Fashion</v>
      </c>
      <c r="P84">
        <f t="shared" si="3"/>
        <v>2</v>
      </c>
      <c r="Q84" t="str">
        <f>_xlfn.XLOOKUP(B84,'Customer Master'!$A$2:$A$50,'Customer Master'!$B$2:$B$50)</f>
        <v>Zoe Mitchell</v>
      </c>
      <c r="R84" t="str" cm="1">
        <f t="array" ref="R84">_xlfn.IFS(P84="NA","NA",P84&lt;=2,"Fast",P84&gt;=2,"Slow")</f>
        <v>Fast</v>
      </c>
      <c r="S84" t="str">
        <f>_xlfn.XLOOKUP(C84,'Product Master'!$A$2:$A$23,'Product Master'!$B$2:$B$23)</f>
        <v>T-Shirt</v>
      </c>
    </row>
    <row r="85" spans="1:19" x14ac:dyDescent="0.25">
      <c r="A85" s="13" t="s">
        <v>174</v>
      </c>
      <c r="B85" s="1" t="s">
        <v>175</v>
      </c>
      <c r="C85" s="1" t="s">
        <v>45</v>
      </c>
      <c r="D85" s="1" t="s">
        <v>21</v>
      </c>
      <c r="E85" s="1">
        <v>65</v>
      </c>
      <c r="F85" s="1">
        <v>2</v>
      </c>
      <c r="G85" s="1">
        <v>130</v>
      </c>
      <c r="H85" s="1" t="s">
        <v>24</v>
      </c>
      <c r="I85" s="1" t="s">
        <v>22</v>
      </c>
      <c r="J85" s="1" t="s">
        <v>15</v>
      </c>
      <c r="K85" s="2">
        <v>45282</v>
      </c>
      <c r="L85" s="2"/>
      <c r="M85" s="2"/>
      <c r="N85" t="str">
        <f t="shared" si="2"/>
        <v>No</v>
      </c>
      <c r="O85" t="str">
        <f>_xlfn.XLOOKUP(C85,'Product Master'!$A$2:$A$23,'Product Master'!$C$2:$C$23)</f>
        <v>Fashion</v>
      </c>
      <c r="P85" t="str">
        <f t="shared" si="3"/>
        <v>NA</v>
      </c>
      <c r="Q85" t="str">
        <f>_xlfn.XLOOKUP(B85,'Customer Master'!$A$2:$A$50,'Customer Master'!$B$2:$B$50)</f>
        <v>Ava White</v>
      </c>
      <c r="R85" t="str" cm="1">
        <f t="array" ref="R85">_xlfn.IFS(P85="NA","NA",P85&lt;=2,"Fast",P85&gt;=2,"Slow")</f>
        <v>NA</v>
      </c>
      <c r="S85" t="str">
        <f>_xlfn.XLOOKUP(C85,'Product Master'!$A$2:$A$23,'Product Master'!$B$2:$B$23)</f>
        <v>Backpack</v>
      </c>
    </row>
    <row r="86" spans="1:19" x14ac:dyDescent="0.25">
      <c r="A86" s="13" t="s">
        <v>176</v>
      </c>
      <c r="B86" s="1" t="s">
        <v>75</v>
      </c>
      <c r="C86" s="1" t="s">
        <v>34</v>
      </c>
      <c r="D86" s="1" t="s">
        <v>17</v>
      </c>
      <c r="E86" s="1">
        <v>43</v>
      </c>
      <c r="F86" s="1">
        <v>5</v>
      </c>
      <c r="G86" s="1">
        <v>215</v>
      </c>
      <c r="H86" s="1" t="s">
        <v>31</v>
      </c>
      <c r="I86" s="1" t="s">
        <v>22</v>
      </c>
      <c r="J86" s="1" t="s">
        <v>15</v>
      </c>
      <c r="K86" s="2">
        <v>44992</v>
      </c>
      <c r="L86" s="2"/>
      <c r="M86" s="2"/>
      <c r="N86" t="str">
        <f t="shared" si="2"/>
        <v>No</v>
      </c>
      <c r="O86" t="str">
        <f>_xlfn.XLOOKUP(C86,'Product Master'!$A$2:$A$23,'Product Master'!$C$2:$C$23)</f>
        <v>Fashion</v>
      </c>
      <c r="P86" t="str">
        <f t="shared" si="3"/>
        <v>NA</v>
      </c>
      <c r="Q86" t="str">
        <f>_xlfn.XLOOKUP(B86,'Customer Master'!$A$2:$A$50,'Customer Master'!$B$2:$B$50)</f>
        <v>Emily Johnson</v>
      </c>
      <c r="R86" t="str" cm="1">
        <f t="array" ref="R86">_xlfn.IFS(P86="NA","NA",P86&lt;=2,"Fast",P86&gt;=2,"Slow")</f>
        <v>NA</v>
      </c>
      <c r="S86" t="str">
        <f>_xlfn.XLOOKUP(C86,'Product Master'!$A$2:$A$23,'Product Master'!$B$2:$B$23)</f>
        <v>Formal Shirt</v>
      </c>
    </row>
    <row r="87" spans="1:19" x14ac:dyDescent="0.25">
      <c r="A87" s="13" t="s">
        <v>177</v>
      </c>
      <c r="B87" s="1" t="s">
        <v>103</v>
      </c>
      <c r="C87" s="1" t="s">
        <v>48</v>
      </c>
      <c r="D87" s="1" t="s">
        <v>33</v>
      </c>
      <c r="E87" s="1">
        <v>210</v>
      </c>
      <c r="F87" s="1">
        <v>1</v>
      </c>
      <c r="G87" s="1">
        <v>210</v>
      </c>
      <c r="H87" s="1" t="s">
        <v>24</v>
      </c>
      <c r="I87" s="1" t="s">
        <v>22</v>
      </c>
      <c r="J87" s="1" t="s">
        <v>25</v>
      </c>
      <c r="K87" s="2">
        <v>45240</v>
      </c>
      <c r="L87" s="2"/>
      <c r="M87" s="2"/>
      <c r="N87" t="str">
        <f t="shared" si="2"/>
        <v>No</v>
      </c>
      <c r="O87" t="str">
        <f>_xlfn.XLOOKUP(C87,'Product Master'!$A$2:$A$23,'Product Master'!$C$2:$C$23)</f>
        <v>Home</v>
      </c>
      <c r="P87" t="str">
        <f t="shared" si="3"/>
        <v>NA</v>
      </c>
      <c r="Q87" t="str">
        <f>_xlfn.XLOOKUP(B87,'Customer Master'!$A$2:$A$50,'Customer Master'!$B$2:$B$50)</f>
        <v>Liam Walker</v>
      </c>
      <c r="R87" t="str" cm="1">
        <f t="array" ref="R87">_xlfn.IFS(P87="NA","NA",P87&lt;=2,"Fast",P87&gt;=2,"Slow")</f>
        <v>NA</v>
      </c>
      <c r="S87" t="str">
        <f>_xlfn.XLOOKUP(C87,'Product Master'!$A$2:$A$23,'Product Master'!$B$2:$B$23)</f>
        <v>Cookware Set Pro</v>
      </c>
    </row>
    <row r="88" spans="1:19" x14ac:dyDescent="0.25">
      <c r="A88" s="13" t="s">
        <v>178</v>
      </c>
      <c r="B88" s="1" t="s">
        <v>179</v>
      </c>
      <c r="C88" s="1" t="s">
        <v>32</v>
      </c>
      <c r="D88" s="1" t="s">
        <v>21</v>
      </c>
      <c r="E88" s="1">
        <v>37</v>
      </c>
      <c r="F88" s="1">
        <v>3</v>
      </c>
      <c r="G88" s="1">
        <v>111</v>
      </c>
      <c r="H88" s="1" t="s">
        <v>18</v>
      </c>
      <c r="I88" s="1" t="s">
        <v>22</v>
      </c>
      <c r="J88" s="1" t="s">
        <v>25</v>
      </c>
      <c r="K88" s="2">
        <v>45252</v>
      </c>
      <c r="L88" s="2"/>
      <c r="M88" s="2"/>
      <c r="N88" t="str">
        <f t="shared" si="2"/>
        <v>No</v>
      </c>
      <c r="O88" t="str">
        <f>_xlfn.XLOOKUP(C88,'Product Master'!$A$2:$A$23,'Product Master'!$C$2:$C$23)</f>
        <v>Home</v>
      </c>
      <c r="P88" t="str">
        <f t="shared" si="3"/>
        <v>NA</v>
      </c>
      <c r="Q88" t="str">
        <f>_xlfn.XLOOKUP(B88,'Customer Master'!$A$2:$A$50,'Customer Master'!$B$2:$B$50)</f>
        <v>Lily Reed</v>
      </c>
      <c r="R88" t="str" cm="1">
        <f t="array" ref="R88">_xlfn.IFS(P88="NA","NA",P88&lt;=2,"Fast",P88&gt;=2,"Slow")</f>
        <v>NA</v>
      </c>
      <c r="S88" t="str">
        <f>_xlfn.XLOOKUP(C88,'Product Master'!$A$2:$A$23,'Product Master'!$B$2:$B$23)</f>
        <v>Wall Clock</v>
      </c>
    </row>
    <row r="89" spans="1:19" x14ac:dyDescent="0.25">
      <c r="A89" s="13" t="s">
        <v>180</v>
      </c>
      <c r="B89" s="1" t="s">
        <v>103</v>
      </c>
      <c r="C89" s="1" t="s">
        <v>43</v>
      </c>
      <c r="D89" s="1" t="s">
        <v>21</v>
      </c>
      <c r="E89" s="1">
        <v>788</v>
      </c>
      <c r="F89" s="1">
        <v>4</v>
      </c>
      <c r="G89" s="1">
        <v>3152</v>
      </c>
      <c r="H89" s="1" t="s">
        <v>31</v>
      </c>
      <c r="I89" s="1" t="s">
        <v>22</v>
      </c>
      <c r="J89" s="1" t="s">
        <v>27</v>
      </c>
      <c r="K89" s="2">
        <v>45054</v>
      </c>
      <c r="L89" s="2"/>
      <c r="M89" s="2"/>
      <c r="N89" t="str">
        <f t="shared" si="2"/>
        <v>No</v>
      </c>
      <c r="O89" t="str">
        <f>_xlfn.XLOOKUP(C89,'Product Master'!$A$2:$A$23,'Product Master'!$C$2:$C$23)</f>
        <v>Electronics</v>
      </c>
      <c r="P89" t="str">
        <f t="shared" si="3"/>
        <v>NA</v>
      </c>
      <c r="Q89" t="str">
        <f>_xlfn.XLOOKUP(B89,'Customer Master'!$A$2:$A$50,'Customer Master'!$B$2:$B$50)</f>
        <v>Liam Walker</v>
      </c>
      <c r="R89" t="str" cm="1">
        <f t="array" ref="R89">_xlfn.IFS(P89="NA","NA",P89&lt;=2,"Fast",P89&gt;=2,"Slow")</f>
        <v>NA</v>
      </c>
      <c r="S89" t="str">
        <f>_xlfn.XLOOKUP(C89,'Product Master'!$A$2:$A$23,'Product Master'!$B$2:$B$23)</f>
        <v>Smartphone</v>
      </c>
    </row>
    <row r="90" spans="1:19" x14ac:dyDescent="0.25">
      <c r="A90" s="13" t="s">
        <v>181</v>
      </c>
      <c r="B90" s="1" t="s">
        <v>103</v>
      </c>
      <c r="C90" s="1" t="s">
        <v>48</v>
      </c>
      <c r="D90" s="1" t="s">
        <v>33</v>
      </c>
      <c r="E90" s="1">
        <v>217</v>
      </c>
      <c r="F90" s="1">
        <v>5</v>
      </c>
      <c r="G90" s="1">
        <v>1085</v>
      </c>
      <c r="H90" s="1" t="s">
        <v>31</v>
      </c>
      <c r="I90" s="1" t="s">
        <v>22</v>
      </c>
      <c r="J90" s="1" t="s">
        <v>37</v>
      </c>
      <c r="K90" s="2">
        <v>45120</v>
      </c>
      <c r="L90" s="2"/>
      <c r="M90" s="2"/>
      <c r="N90" t="str">
        <f t="shared" si="2"/>
        <v>No</v>
      </c>
      <c r="O90" t="str">
        <f>_xlfn.XLOOKUP(C90,'Product Master'!$A$2:$A$23,'Product Master'!$C$2:$C$23)</f>
        <v>Home</v>
      </c>
      <c r="P90" t="str">
        <f t="shared" si="3"/>
        <v>NA</v>
      </c>
      <c r="Q90" t="str">
        <f>_xlfn.XLOOKUP(B90,'Customer Master'!$A$2:$A$50,'Customer Master'!$B$2:$B$50)</f>
        <v>Liam Walker</v>
      </c>
      <c r="R90" t="str" cm="1">
        <f t="array" ref="R90">_xlfn.IFS(P90="NA","NA",P90&lt;=2,"Fast",P90&gt;=2,"Slow")</f>
        <v>NA</v>
      </c>
      <c r="S90" t="str">
        <f>_xlfn.XLOOKUP(C90,'Product Master'!$A$2:$A$23,'Product Master'!$B$2:$B$23)</f>
        <v>Cookware Set Pro</v>
      </c>
    </row>
    <row r="91" spans="1:19" x14ac:dyDescent="0.25">
      <c r="A91" s="13" t="s">
        <v>182</v>
      </c>
      <c r="B91" s="1" t="s">
        <v>103</v>
      </c>
      <c r="C91" s="1" t="s">
        <v>35</v>
      </c>
      <c r="D91" s="1" t="s">
        <v>33</v>
      </c>
      <c r="E91" s="1">
        <v>138</v>
      </c>
      <c r="F91" s="1">
        <v>4</v>
      </c>
      <c r="G91" s="1">
        <v>552</v>
      </c>
      <c r="H91" s="1" t="s">
        <v>18</v>
      </c>
      <c r="I91" s="1" t="s">
        <v>22</v>
      </c>
      <c r="J91" s="1" t="s">
        <v>37</v>
      </c>
      <c r="K91" s="2">
        <v>44944</v>
      </c>
      <c r="L91" s="2"/>
      <c r="M91" s="2"/>
      <c r="N91" t="str">
        <f t="shared" si="2"/>
        <v>No</v>
      </c>
      <c r="O91" t="str">
        <f>_xlfn.XLOOKUP(C91,'Product Master'!$A$2:$A$23,'Product Master'!$C$2:$C$23)</f>
        <v>Home</v>
      </c>
      <c r="P91" t="str">
        <f t="shared" si="3"/>
        <v>NA</v>
      </c>
      <c r="Q91" t="str">
        <f>_xlfn.XLOOKUP(B91,'Customer Master'!$A$2:$A$50,'Customer Master'!$B$2:$B$50)</f>
        <v>Liam Walker</v>
      </c>
      <c r="R91" t="str" cm="1">
        <f t="array" ref="R91">_xlfn.IFS(P91="NA","NA",P91&lt;=2,"Fast",P91&gt;=2,"Slow")</f>
        <v>NA</v>
      </c>
      <c r="S91" t="str">
        <f>_xlfn.XLOOKUP(C91,'Product Master'!$A$2:$A$23,'Product Master'!$B$2:$B$23)</f>
        <v>Cookware Set</v>
      </c>
    </row>
    <row r="92" spans="1:19" x14ac:dyDescent="0.25">
      <c r="A92" s="13" t="s">
        <v>183</v>
      </c>
      <c r="B92" s="1" t="s">
        <v>184</v>
      </c>
      <c r="C92" s="1" t="s">
        <v>43</v>
      </c>
      <c r="D92" s="1" t="s">
        <v>30</v>
      </c>
      <c r="E92" s="1">
        <v>803</v>
      </c>
      <c r="F92" s="1">
        <v>2</v>
      </c>
      <c r="G92" s="1">
        <v>1606</v>
      </c>
      <c r="H92" s="1" t="s">
        <v>13</v>
      </c>
      <c r="I92" s="1" t="s">
        <v>19</v>
      </c>
      <c r="J92" s="1" t="s">
        <v>37</v>
      </c>
      <c r="K92" s="2">
        <v>45100</v>
      </c>
      <c r="L92" s="2">
        <v>45106</v>
      </c>
      <c r="M92" s="2"/>
      <c r="N92" t="str">
        <f t="shared" si="2"/>
        <v>No</v>
      </c>
      <c r="O92" t="str">
        <f>_xlfn.XLOOKUP(C92,'Product Master'!$A$2:$A$23,'Product Master'!$C$2:$C$23)</f>
        <v>Electronics</v>
      </c>
      <c r="P92">
        <f t="shared" si="3"/>
        <v>6</v>
      </c>
      <c r="Q92" t="str">
        <f>_xlfn.XLOOKUP(B92,'Customer Master'!$A$2:$A$50,'Customer Master'!$B$2:$B$50)</f>
        <v>Mason Collins</v>
      </c>
      <c r="R92" t="str" cm="1">
        <f t="array" ref="R92">_xlfn.IFS(P92="NA","NA",P92&lt;=2,"Fast",P92&gt;=2,"Slow")</f>
        <v>Slow</v>
      </c>
      <c r="S92" t="str">
        <f>_xlfn.XLOOKUP(C92,'Product Master'!$A$2:$A$23,'Product Master'!$B$2:$B$23)</f>
        <v>Smartphone</v>
      </c>
    </row>
    <row r="93" spans="1:19" x14ac:dyDescent="0.25">
      <c r="A93" s="13" t="s">
        <v>185</v>
      </c>
      <c r="B93" s="1" t="s">
        <v>70</v>
      </c>
      <c r="C93" s="1" t="s">
        <v>36</v>
      </c>
      <c r="D93" s="1" t="s">
        <v>12</v>
      </c>
      <c r="E93" s="1">
        <v>248</v>
      </c>
      <c r="F93" s="1">
        <v>5</v>
      </c>
      <c r="G93" s="1">
        <v>1240</v>
      </c>
      <c r="H93" s="1" t="s">
        <v>24</v>
      </c>
      <c r="I93" s="1" t="s">
        <v>14</v>
      </c>
      <c r="J93" s="1" t="s">
        <v>25</v>
      </c>
      <c r="K93" s="2">
        <v>44978</v>
      </c>
      <c r="L93" s="2"/>
      <c r="M93" s="2">
        <v>44982</v>
      </c>
      <c r="N93" t="str">
        <f t="shared" si="2"/>
        <v>Yes</v>
      </c>
      <c r="O93" t="str">
        <f>_xlfn.XLOOKUP(C93,'Product Master'!$A$2:$A$23,'Product Master'!$C$2:$C$23)</f>
        <v>Electronics</v>
      </c>
      <c r="P93" t="str">
        <f t="shared" si="3"/>
        <v>NA</v>
      </c>
      <c r="Q93" t="str">
        <f>_xlfn.XLOOKUP(B93,'Customer Master'!$A$2:$A$50,'Customer Master'!$B$2:$B$50)</f>
        <v>Olivia Martinez</v>
      </c>
      <c r="R93" t="str" cm="1">
        <f t="array" ref="R93">_xlfn.IFS(P93="NA","NA",P93&lt;=2,"Fast",P93&gt;=2,"Slow")</f>
        <v>NA</v>
      </c>
      <c r="S93" t="str">
        <f>_xlfn.XLOOKUP(C93,'Product Master'!$A$2:$A$23,'Product Master'!$B$2:$B$23)</f>
        <v>Smartwatch</v>
      </c>
    </row>
    <row r="94" spans="1:19" x14ac:dyDescent="0.25">
      <c r="A94" s="13" t="s">
        <v>186</v>
      </c>
      <c r="B94" s="1" t="s">
        <v>187</v>
      </c>
      <c r="C94" s="1" t="s">
        <v>48</v>
      </c>
      <c r="D94" s="1" t="s">
        <v>17</v>
      </c>
      <c r="E94" s="1">
        <v>210</v>
      </c>
      <c r="F94" s="1">
        <v>3</v>
      </c>
      <c r="G94" s="1">
        <v>630</v>
      </c>
      <c r="H94" s="1" t="s">
        <v>13</v>
      </c>
      <c r="I94" s="1" t="s">
        <v>19</v>
      </c>
      <c r="J94" s="1" t="s">
        <v>15</v>
      </c>
      <c r="K94" s="2">
        <v>44976</v>
      </c>
      <c r="L94" s="2">
        <v>44978</v>
      </c>
      <c r="M94" s="2"/>
      <c r="N94" t="str">
        <f t="shared" si="2"/>
        <v>No</v>
      </c>
      <c r="O94" t="str">
        <f>_xlfn.XLOOKUP(C94,'Product Master'!$A$2:$A$23,'Product Master'!$C$2:$C$23)</f>
        <v>Home</v>
      </c>
      <c r="P94">
        <f t="shared" si="3"/>
        <v>2</v>
      </c>
      <c r="Q94" t="str">
        <f>_xlfn.XLOOKUP(B94,'Customer Master'!$A$2:$A$50,'Customer Master'!$B$2:$B$50)</f>
        <v>Ethan Davis</v>
      </c>
      <c r="R94" t="str" cm="1">
        <f t="array" ref="R94">_xlfn.IFS(P94="NA","NA",P94&lt;=2,"Fast",P94&gt;=2,"Slow")</f>
        <v>Fast</v>
      </c>
      <c r="S94" t="str">
        <f>_xlfn.XLOOKUP(C94,'Product Master'!$A$2:$A$23,'Product Master'!$B$2:$B$23)</f>
        <v>Cookware Set Pro</v>
      </c>
    </row>
    <row r="95" spans="1:19" x14ac:dyDescent="0.25">
      <c r="A95" s="13" t="s">
        <v>188</v>
      </c>
      <c r="B95" s="1" t="s">
        <v>70</v>
      </c>
      <c r="C95" s="1" t="s">
        <v>50</v>
      </c>
      <c r="D95" s="1" t="s">
        <v>12</v>
      </c>
      <c r="E95" s="1">
        <v>62</v>
      </c>
      <c r="F95" s="1">
        <v>2</v>
      </c>
      <c r="G95" s="1">
        <v>124</v>
      </c>
      <c r="H95" s="1" t="s">
        <v>18</v>
      </c>
      <c r="I95" s="1" t="s">
        <v>14</v>
      </c>
      <c r="J95" s="1" t="s">
        <v>37</v>
      </c>
      <c r="K95" s="2">
        <v>45265</v>
      </c>
      <c r="L95" s="2"/>
      <c r="M95" s="2">
        <v>45272</v>
      </c>
      <c r="N95" t="str">
        <f t="shared" si="2"/>
        <v>Yes</v>
      </c>
      <c r="O95" t="str">
        <f>_xlfn.XLOOKUP(C95,'Product Master'!$A$2:$A$23,'Product Master'!$C$2:$C$23)</f>
        <v>Toys</v>
      </c>
      <c r="P95" t="str">
        <f t="shared" si="3"/>
        <v>NA</v>
      </c>
      <c r="Q95" t="str">
        <f>_xlfn.XLOOKUP(B95,'Customer Master'!$A$2:$A$50,'Customer Master'!$B$2:$B$50)</f>
        <v>Olivia Martinez</v>
      </c>
      <c r="R95" t="str" cm="1">
        <f t="array" ref="R95">_xlfn.IFS(P95="NA","NA",P95&lt;=2,"Fast",P95&gt;=2,"Slow")</f>
        <v>NA</v>
      </c>
      <c r="S95" t="str">
        <f>_xlfn.XLOOKUP(C95,'Product Master'!$A$2:$A$23,'Product Master'!$B$2:$B$23)</f>
        <v>Leg Set</v>
      </c>
    </row>
    <row r="96" spans="1:19" x14ac:dyDescent="0.25">
      <c r="A96" s="13" t="s">
        <v>189</v>
      </c>
      <c r="B96" s="1" t="s">
        <v>179</v>
      </c>
      <c r="C96" s="1" t="s">
        <v>46</v>
      </c>
      <c r="D96" s="1" t="s">
        <v>21</v>
      </c>
      <c r="E96" s="1">
        <v>11</v>
      </c>
      <c r="F96" s="1">
        <v>5</v>
      </c>
      <c r="G96" s="1">
        <v>55</v>
      </c>
      <c r="H96" s="1" t="s">
        <v>31</v>
      </c>
      <c r="I96" s="1" t="s">
        <v>14</v>
      </c>
      <c r="J96" s="1" t="s">
        <v>27</v>
      </c>
      <c r="K96" s="2">
        <v>45084</v>
      </c>
      <c r="L96" s="2"/>
      <c r="M96" s="2">
        <v>45089</v>
      </c>
      <c r="N96" t="str">
        <f t="shared" si="2"/>
        <v>Yes</v>
      </c>
      <c r="O96" t="str">
        <f>_xlfn.XLOOKUP(C96,'Product Master'!$A$2:$A$23,'Product Master'!$C$2:$C$23)</f>
        <v>Books</v>
      </c>
      <c r="P96" t="str">
        <f t="shared" si="3"/>
        <v>NA</v>
      </c>
      <c r="Q96" t="str">
        <f>_xlfn.XLOOKUP(B96,'Customer Master'!$A$2:$A$50,'Customer Master'!$B$2:$B$50)</f>
        <v>Lily Reed</v>
      </c>
      <c r="R96" t="str" cm="1">
        <f t="array" ref="R96">_xlfn.IFS(P96="NA","NA",P96&lt;=2,"Fast",P96&gt;=2,"Slow")</f>
        <v>NA</v>
      </c>
      <c r="S96" t="str">
        <f>_xlfn.XLOOKUP(C96,'Product Master'!$A$2:$A$23,'Product Master'!$B$2:$B$23)</f>
        <v>Magazine</v>
      </c>
    </row>
    <row r="97" spans="1:19" x14ac:dyDescent="0.25">
      <c r="A97" s="13" t="s">
        <v>190</v>
      </c>
      <c r="B97" s="1" t="s">
        <v>140</v>
      </c>
      <c r="C97" s="1" t="s">
        <v>41</v>
      </c>
      <c r="D97" s="1" t="s">
        <v>12</v>
      </c>
      <c r="E97" s="1">
        <v>21</v>
      </c>
      <c r="F97" s="1">
        <v>2</v>
      </c>
      <c r="G97" s="1">
        <v>42</v>
      </c>
      <c r="H97" s="1" t="s">
        <v>28</v>
      </c>
      <c r="I97" s="1" t="s">
        <v>19</v>
      </c>
      <c r="J97" s="1" t="s">
        <v>25</v>
      </c>
      <c r="K97" s="2">
        <v>45116</v>
      </c>
      <c r="L97" s="2">
        <v>45119</v>
      </c>
      <c r="M97" s="2"/>
      <c r="N97" t="str">
        <f t="shared" si="2"/>
        <v>No</v>
      </c>
      <c r="O97" t="str">
        <f>_xlfn.XLOOKUP(C97,'Product Master'!$A$2:$A$23,'Product Master'!$C$2:$C$23)</f>
        <v>Books</v>
      </c>
      <c r="P97">
        <f t="shared" si="3"/>
        <v>3</v>
      </c>
      <c r="Q97" t="str">
        <f>_xlfn.XLOOKUP(B97,'Customer Master'!$A$2:$A$50,'Customer Master'!$B$2:$B$50)</f>
        <v>Emma King</v>
      </c>
      <c r="R97" t="str" cm="1">
        <f t="array" ref="R97">_xlfn.IFS(P97="NA","NA",P97&lt;=2,"Fast",P97&gt;=2,"Slow")</f>
        <v>Slow</v>
      </c>
      <c r="S97" t="str">
        <f>_xlfn.XLOOKUP(C97,'Product Master'!$A$2:$A$23,'Product Master'!$B$2:$B$23)</f>
        <v>Novel</v>
      </c>
    </row>
    <row r="98" spans="1:19" x14ac:dyDescent="0.25">
      <c r="A98" s="13" t="s">
        <v>191</v>
      </c>
      <c r="B98" s="1" t="s">
        <v>77</v>
      </c>
      <c r="C98" s="1" t="s">
        <v>16</v>
      </c>
      <c r="D98" s="1" t="s">
        <v>33</v>
      </c>
      <c r="E98" s="1">
        <v>95</v>
      </c>
      <c r="F98" s="1">
        <v>5</v>
      </c>
      <c r="G98" s="1">
        <v>475</v>
      </c>
      <c r="H98" s="1" t="s">
        <v>28</v>
      </c>
      <c r="I98" s="1" t="s">
        <v>19</v>
      </c>
      <c r="J98" s="1" t="s">
        <v>27</v>
      </c>
      <c r="K98" s="2">
        <v>45283</v>
      </c>
      <c r="L98" s="2">
        <v>45286</v>
      </c>
      <c r="M98" s="2"/>
      <c r="N98" t="str">
        <f t="shared" si="2"/>
        <v>No</v>
      </c>
      <c r="O98" t="str">
        <f>_xlfn.XLOOKUP(C98,'Product Master'!$A$2:$A$23,'Product Master'!$C$2:$C$23)</f>
        <v>Toys</v>
      </c>
      <c r="P98">
        <f t="shared" si="3"/>
        <v>3</v>
      </c>
      <c r="Q98" t="str">
        <f>_xlfn.XLOOKUP(B98,'Customer Master'!$A$2:$A$50,'Customer Master'!$B$2:$B$50)</f>
        <v>Charlotte Reed</v>
      </c>
      <c r="R98" t="str" cm="1">
        <f t="array" ref="R98">_xlfn.IFS(P98="NA","NA",P98&lt;=2,"Fast",P98&gt;=2,"Slow")</f>
        <v>Slow</v>
      </c>
      <c r="S98" t="str">
        <f>_xlfn.XLOOKUP(C98,'Product Master'!$A$2:$A$23,'Product Master'!$B$2:$B$23)</f>
        <v>Doll House</v>
      </c>
    </row>
    <row r="99" spans="1:19" x14ac:dyDescent="0.25">
      <c r="A99" s="13" t="s">
        <v>192</v>
      </c>
      <c r="B99" s="1" t="s">
        <v>60</v>
      </c>
      <c r="C99" s="1" t="s">
        <v>48</v>
      </c>
      <c r="D99" s="1" t="s">
        <v>21</v>
      </c>
      <c r="E99" s="1">
        <v>215</v>
      </c>
      <c r="F99" s="1">
        <v>2</v>
      </c>
      <c r="G99" s="1">
        <v>430</v>
      </c>
      <c r="H99" s="1" t="s">
        <v>24</v>
      </c>
      <c r="I99" s="1" t="s">
        <v>19</v>
      </c>
      <c r="J99" s="1" t="s">
        <v>27</v>
      </c>
      <c r="K99" s="2">
        <v>45194</v>
      </c>
      <c r="L99" s="2">
        <v>45199</v>
      </c>
      <c r="M99" s="2"/>
      <c r="N99" t="str">
        <f t="shared" si="2"/>
        <v>No</v>
      </c>
      <c r="O99" t="str">
        <f>_xlfn.XLOOKUP(C99,'Product Master'!$A$2:$A$23,'Product Master'!$C$2:$C$23)</f>
        <v>Home</v>
      </c>
      <c r="P99">
        <f t="shared" si="3"/>
        <v>5</v>
      </c>
      <c r="Q99" t="str">
        <f>_xlfn.XLOOKUP(B99,'Customer Master'!$A$2:$A$50,'Customer Master'!$B$2:$B$50)</f>
        <v>Grace Ward</v>
      </c>
      <c r="R99" t="str" cm="1">
        <f t="array" ref="R99">_xlfn.IFS(P99="NA","NA",P99&lt;=2,"Fast",P99&gt;=2,"Slow")</f>
        <v>Slow</v>
      </c>
      <c r="S99" t="str">
        <f>_xlfn.XLOOKUP(C99,'Product Master'!$A$2:$A$23,'Product Master'!$B$2:$B$23)</f>
        <v>Cookware Set Pro</v>
      </c>
    </row>
    <row r="100" spans="1:19" x14ac:dyDescent="0.25">
      <c r="A100" s="13" t="s">
        <v>193</v>
      </c>
      <c r="B100" s="1" t="s">
        <v>194</v>
      </c>
      <c r="C100" s="1" t="s">
        <v>34</v>
      </c>
      <c r="D100" s="1" t="s">
        <v>33</v>
      </c>
      <c r="E100" s="1">
        <v>43</v>
      </c>
      <c r="F100" s="1">
        <v>5</v>
      </c>
      <c r="G100" s="1">
        <v>215</v>
      </c>
      <c r="H100" s="1" t="s">
        <v>18</v>
      </c>
      <c r="I100" s="1" t="s">
        <v>14</v>
      </c>
      <c r="J100" s="1" t="s">
        <v>25</v>
      </c>
      <c r="K100" s="2">
        <v>44944</v>
      </c>
      <c r="L100" s="2"/>
      <c r="M100" s="2">
        <v>44950</v>
      </c>
      <c r="N100" t="str">
        <f t="shared" si="2"/>
        <v>Yes</v>
      </c>
      <c r="O100" t="str">
        <f>_xlfn.XLOOKUP(C100,'Product Master'!$A$2:$A$23,'Product Master'!$C$2:$C$23)</f>
        <v>Fashion</v>
      </c>
      <c r="P100" t="str">
        <f t="shared" si="3"/>
        <v>NA</v>
      </c>
      <c r="Q100" t="str">
        <f>_xlfn.XLOOKUP(B100,'Customer Master'!$A$2:$A$50,'Customer Master'!$B$2:$B$50)</f>
        <v>Lily Simmons</v>
      </c>
      <c r="R100" t="str" cm="1">
        <f t="array" ref="R100">_xlfn.IFS(P100="NA","NA",P100&lt;=2,"Fast",P100&gt;=2,"Slow")</f>
        <v>NA</v>
      </c>
      <c r="S100" t="str">
        <f>_xlfn.XLOOKUP(C100,'Product Master'!$A$2:$A$23,'Product Master'!$B$2:$B$23)</f>
        <v>Formal Shirt</v>
      </c>
    </row>
    <row r="101" spans="1:19" x14ac:dyDescent="0.25">
      <c r="A101" s="13" t="s">
        <v>195</v>
      </c>
      <c r="B101" s="1" t="s">
        <v>64</v>
      </c>
      <c r="C101" s="1" t="s">
        <v>44</v>
      </c>
      <c r="D101" s="1" t="s">
        <v>33</v>
      </c>
      <c r="E101" s="1">
        <v>42</v>
      </c>
      <c r="F101" s="1">
        <v>4</v>
      </c>
      <c r="G101" s="1">
        <v>168</v>
      </c>
      <c r="H101" s="1" t="s">
        <v>31</v>
      </c>
      <c r="I101" s="1" t="s">
        <v>22</v>
      </c>
      <c r="J101" s="1" t="s">
        <v>15</v>
      </c>
      <c r="K101" s="2">
        <v>45012</v>
      </c>
      <c r="L101" s="2"/>
      <c r="M101" s="2"/>
      <c r="N101" t="str">
        <f t="shared" si="2"/>
        <v>No</v>
      </c>
      <c r="O101" t="str">
        <f>_xlfn.XLOOKUP(C101,'Product Master'!$A$2:$A$23,'Product Master'!$C$2:$C$23)</f>
        <v>Toys</v>
      </c>
      <c r="P101" t="str">
        <f t="shared" si="3"/>
        <v>NA</v>
      </c>
      <c r="Q101" t="str">
        <f>_xlfn.XLOOKUP(B101,'Customer Master'!$A$2:$A$50,'Customer Master'!$B$2:$B$50)</f>
        <v>Jackson Allen</v>
      </c>
      <c r="R101" t="str" cm="1">
        <f t="array" ref="R101">_xlfn.IFS(P101="NA","NA",P101&lt;=2,"Fast",P101&gt;=2,"Slow")</f>
        <v>NA</v>
      </c>
      <c r="S101" t="str">
        <f>_xlfn.XLOOKUP(C101,'Product Master'!$A$2:$A$23,'Product Master'!$B$2:$B$23)</f>
        <v>Action Figure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H14" sqref="H14"/>
    </sheetView>
  </sheetViews>
  <sheetFormatPr defaultRowHeight="14.3" x14ac:dyDescent="0.25"/>
  <cols>
    <col min="1" max="1" width="9.875" bestFit="1" customWidth="1"/>
    <col min="2" max="2" width="16.125" bestFit="1" customWidth="1"/>
    <col min="3" max="3" width="9.875" bestFit="1" customWidth="1"/>
    <col min="4" max="4" width="9.25" bestFit="1" customWidth="1"/>
    <col min="5" max="5" width="46.625" bestFit="1" customWidth="1"/>
  </cols>
  <sheetData>
    <row r="1" spans="1:5" x14ac:dyDescent="0.25">
      <c r="A1" s="4" t="s">
        <v>0</v>
      </c>
      <c r="B1" s="4" t="s">
        <v>53</v>
      </c>
      <c r="C1" s="4" t="s">
        <v>196</v>
      </c>
      <c r="D1" s="5" t="s">
        <v>197</v>
      </c>
      <c r="E1" s="4" t="s">
        <v>198</v>
      </c>
    </row>
    <row r="2" spans="1:5" x14ac:dyDescent="0.25">
      <c r="A2" s="6" t="s">
        <v>43</v>
      </c>
      <c r="B2" s="6" t="s">
        <v>199</v>
      </c>
      <c r="C2" s="6" t="s">
        <v>200</v>
      </c>
      <c r="D2" s="7">
        <v>749</v>
      </c>
      <c r="E2" s="6" t="s">
        <v>201</v>
      </c>
    </row>
    <row r="3" spans="1:5" x14ac:dyDescent="0.25">
      <c r="A3" s="6" t="s">
        <v>44</v>
      </c>
      <c r="B3" s="6" t="s">
        <v>202</v>
      </c>
      <c r="C3" s="6" t="s">
        <v>203</v>
      </c>
      <c r="D3" s="7">
        <v>39</v>
      </c>
      <c r="E3" s="6" t="s">
        <v>204</v>
      </c>
    </row>
    <row r="4" spans="1:5" x14ac:dyDescent="0.25">
      <c r="A4" s="6" t="s">
        <v>35</v>
      </c>
      <c r="B4" s="6" t="s">
        <v>205</v>
      </c>
      <c r="C4" s="6" t="s">
        <v>206</v>
      </c>
      <c r="D4" s="7">
        <v>129</v>
      </c>
      <c r="E4" s="6" t="s">
        <v>207</v>
      </c>
    </row>
    <row r="5" spans="1:5" x14ac:dyDescent="0.25">
      <c r="A5" s="6" t="s">
        <v>50</v>
      </c>
      <c r="B5" s="6" t="s">
        <v>208</v>
      </c>
      <c r="C5" s="6" t="s">
        <v>203</v>
      </c>
      <c r="D5" s="7">
        <v>59</v>
      </c>
      <c r="E5" s="6" t="s">
        <v>209</v>
      </c>
    </row>
    <row r="6" spans="1:5" x14ac:dyDescent="0.25">
      <c r="A6" s="6" t="s">
        <v>40</v>
      </c>
      <c r="B6" s="6" t="s">
        <v>210</v>
      </c>
      <c r="C6" s="6" t="s">
        <v>211</v>
      </c>
      <c r="D6" s="7">
        <v>25</v>
      </c>
      <c r="E6" s="6" t="s">
        <v>212</v>
      </c>
    </row>
    <row r="7" spans="1:5" x14ac:dyDescent="0.25">
      <c r="A7" s="6" t="s">
        <v>38</v>
      </c>
      <c r="B7" s="6" t="s">
        <v>213</v>
      </c>
      <c r="C7" s="6" t="s">
        <v>211</v>
      </c>
      <c r="D7" s="7">
        <v>89</v>
      </c>
      <c r="E7" s="6" t="s">
        <v>214</v>
      </c>
    </row>
    <row r="8" spans="1:5" x14ac:dyDescent="0.25">
      <c r="A8" s="6" t="s">
        <v>49</v>
      </c>
      <c r="B8" s="6" t="s">
        <v>215</v>
      </c>
      <c r="C8" s="6" t="s">
        <v>203</v>
      </c>
      <c r="D8" s="7">
        <v>29</v>
      </c>
      <c r="E8" s="6" t="s">
        <v>216</v>
      </c>
    </row>
    <row r="9" spans="1:5" x14ac:dyDescent="0.25">
      <c r="A9" s="6" t="s">
        <v>42</v>
      </c>
      <c r="B9" s="6" t="s">
        <v>217</v>
      </c>
      <c r="C9" s="6" t="s">
        <v>218</v>
      </c>
      <c r="D9" s="7">
        <v>65</v>
      </c>
      <c r="E9" s="6" t="s">
        <v>219</v>
      </c>
    </row>
    <row r="10" spans="1:5" x14ac:dyDescent="0.25">
      <c r="A10" s="6" t="s">
        <v>46</v>
      </c>
      <c r="B10" s="6" t="s">
        <v>220</v>
      </c>
      <c r="C10" s="6" t="s">
        <v>218</v>
      </c>
      <c r="D10" s="7">
        <v>10</v>
      </c>
      <c r="E10" s="6" t="s">
        <v>221</v>
      </c>
    </row>
    <row r="11" spans="1:5" x14ac:dyDescent="0.25">
      <c r="A11" s="6" t="s">
        <v>26</v>
      </c>
      <c r="B11" s="6" t="s">
        <v>222</v>
      </c>
      <c r="C11" s="6" t="s">
        <v>211</v>
      </c>
      <c r="D11" s="7">
        <v>55</v>
      </c>
      <c r="E11" s="6" t="s">
        <v>223</v>
      </c>
    </row>
    <row r="12" spans="1:5" x14ac:dyDescent="0.25">
      <c r="A12" s="6" t="s">
        <v>47</v>
      </c>
      <c r="B12" s="6" t="s">
        <v>224</v>
      </c>
      <c r="C12" s="6" t="s">
        <v>200</v>
      </c>
      <c r="D12" s="7">
        <v>159</v>
      </c>
      <c r="E12" s="6" t="s">
        <v>225</v>
      </c>
    </row>
    <row r="13" spans="1:5" x14ac:dyDescent="0.25">
      <c r="A13" s="6" t="s">
        <v>11</v>
      </c>
      <c r="B13" s="6" t="s">
        <v>226</v>
      </c>
      <c r="C13" s="6" t="s">
        <v>206</v>
      </c>
      <c r="D13" s="7">
        <v>42</v>
      </c>
      <c r="E13" s="6" t="s">
        <v>227</v>
      </c>
    </row>
    <row r="14" spans="1:5" x14ac:dyDescent="0.25">
      <c r="A14" s="6" t="s">
        <v>20</v>
      </c>
      <c r="B14" s="6" t="s">
        <v>228</v>
      </c>
      <c r="C14" s="6" t="s">
        <v>206</v>
      </c>
      <c r="D14" s="7">
        <v>185</v>
      </c>
      <c r="E14" s="6" t="s">
        <v>229</v>
      </c>
    </row>
    <row r="15" spans="1:5" x14ac:dyDescent="0.25">
      <c r="A15" s="6" t="s">
        <v>36</v>
      </c>
      <c r="B15" s="6" t="s">
        <v>230</v>
      </c>
      <c r="C15" s="6" t="s">
        <v>200</v>
      </c>
      <c r="D15" s="7">
        <v>229</v>
      </c>
      <c r="E15" s="6" t="s">
        <v>231</v>
      </c>
    </row>
    <row r="16" spans="1:5" x14ac:dyDescent="0.25">
      <c r="A16" s="6" t="s">
        <v>41</v>
      </c>
      <c r="B16" s="6" t="s">
        <v>232</v>
      </c>
      <c r="C16" s="6" t="s">
        <v>218</v>
      </c>
      <c r="D16" s="7">
        <v>20</v>
      </c>
      <c r="E16" s="6" t="s">
        <v>233</v>
      </c>
    </row>
    <row r="17" spans="1:5" x14ac:dyDescent="0.25">
      <c r="A17" s="6" t="s">
        <v>48</v>
      </c>
      <c r="B17" s="6" t="s">
        <v>234</v>
      </c>
      <c r="C17" s="6" t="s">
        <v>206</v>
      </c>
      <c r="D17" s="7">
        <v>199</v>
      </c>
      <c r="E17" s="6" t="s">
        <v>235</v>
      </c>
    </row>
    <row r="18" spans="1:5" x14ac:dyDescent="0.25">
      <c r="A18" s="6" t="s">
        <v>39</v>
      </c>
      <c r="B18" s="6" t="s">
        <v>236</v>
      </c>
      <c r="C18" s="6" t="s">
        <v>200</v>
      </c>
      <c r="D18" s="7">
        <v>69</v>
      </c>
      <c r="E18" s="6" t="s">
        <v>237</v>
      </c>
    </row>
    <row r="19" spans="1:5" x14ac:dyDescent="0.25">
      <c r="A19" s="6" t="s">
        <v>16</v>
      </c>
      <c r="B19" s="6" t="s">
        <v>238</v>
      </c>
      <c r="C19" s="6" t="s">
        <v>203</v>
      </c>
      <c r="D19" s="7">
        <v>89</v>
      </c>
      <c r="E19" s="6" t="s">
        <v>239</v>
      </c>
    </row>
    <row r="20" spans="1:5" x14ac:dyDescent="0.25">
      <c r="A20" s="6" t="s">
        <v>34</v>
      </c>
      <c r="B20" s="6" t="s">
        <v>240</v>
      </c>
      <c r="C20" s="6" t="s">
        <v>211</v>
      </c>
      <c r="D20" s="7">
        <v>40</v>
      </c>
      <c r="E20" s="6" t="s">
        <v>241</v>
      </c>
    </row>
    <row r="21" spans="1:5" x14ac:dyDescent="0.25">
      <c r="A21" s="6" t="s">
        <v>29</v>
      </c>
      <c r="B21" s="6" t="s">
        <v>242</v>
      </c>
      <c r="C21" s="6" t="s">
        <v>200</v>
      </c>
      <c r="D21" s="7">
        <v>99</v>
      </c>
      <c r="E21" s="6" t="s">
        <v>243</v>
      </c>
    </row>
    <row r="22" spans="1:5" x14ac:dyDescent="0.25">
      <c r="A22" s="6" t="s">
        <v>32</v>
      </c>
      <c r="B22" s="6" t="s">
        <v>244</v>
      </c>
      <c r="C22" s="6" t="s">
        <v>206</v>
      </c>
      <c r="D22" s="7">
        <v>34</v>
      </c>
      <c r="E22" s="6" t="s">
        <v>245</v>
      </c>
    </row>
    <row r="23" spans="1:5" x14ac:dyDescent="0.25">
      <c r="A23" s="6" t="s">
        <v>45</v>
      </c>
      <c r="B23" s="6" t="s">
        <v>246</v>
      </c>
      <c r="C23" s="6" t="s">
        <v>211</v>
      </c>
      <c r="D23" s="7">
        <v>60</v>
      </c>
      <c r="E23" s="6" t="s">
        <v>247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H11" sqref="H11"/>
    </sheetView>
  </sheetViews>
  <sheetFormatPr defaultRowHeight="14.3" x14ac:dyDescent="0.25"/>
  <cols>
    <col min="1" max="1" width="6.875" bestFit="1" customWidth="1"/>
    <col min="2" max="2" width="11" bestFit="1" customWidth="1"/>
  </cols>
  <sheetData>
    <row r="1" spans="1:2" x14ac:dyDescent="0.25">
      <c r="A1" s="4" t="s">
        <v>1</v>
      </c>
      <c r="B1" s="4" t="s">
        <v>248</v>
      </c>
    </row>
    <row r="2" spans="1:2" x14ac:dyDescent="0.25">
      <c r="A2" s="6" t="s">
        <v>30</v>
      </c>
      <c r="B2" s="8">
        <v>97500</v>
      </c>
    </row>
    <row r="3" spans="1:2" x14ac:dyDescent="0.25">
      <c r="A3" s="6" t="s">
        <v>17</v>
      </c>
      <c r="B3" s="8">
        <v>50500</v>
      </c>
    </row>
    <row r="4" spans="1:2" x14ac:dyDescent="0.25">
      <c r="A4" s="6" t="s">
        <v>12</v>
      </c>
      <c r="B4" s="8">
        <v>105000</v>
      </c>
    </row>
    <row r="5" spans="1:2" x14ac:dyDescent="0.25">
      <c r="A5" s="6" t="s">
        <v>21</v>
      </c>
      <c r="B5" s="8">
        <v>91500</v>
      </c>
    </row>
    <row r="6" spans="1:2" x14ac:dyDescent="0.25">
      <c r="A6" s="6" t="s">
        <v>33</v>
      </c>
      <c r="B6" s="8">
        <v>90750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topLeftCell="A24" workbookViewId="0">
      <selection activeCell="I12" sqref="I12"/>
    </sheetView>
  </sheetViews>
  <sheetFormatPr defaultRowHeight="14.3" x14ac:dyDescent="0.25"/>
  <cols>
    <col min="1" max="1" width="11.375" bestFit="1" customWidth="1"/>
    <col min="2" max="2" width="14.625" bestFit="1" customWidth="1"/>
    <col min="3" max="3" width="13.75" bestFit="1" customWidth="1"/>
    <col min="4" max="4" width="12" bestFit="1" customWidth="1"/>
    <col min="5" max="5" width="10.625" bestFit="1" customWidth="1"/>
  </cols>
  <sheetData>
    <row r="1" spans="1:5" x14ac:dyDescent="0.25">
      <c r="A1" s="4" t="s">
        <v>52</v>
      </c>
      <c r="B1" s="4" t="s">
        <v>249</v>
      </c>
      <c r="C1" s="4" t="s">
        <v>250</v>
      </c>
      <c r="D1" s="4" t="s">
        <v>251</v>
      </c>
      <c r="E1" s="4" t="s">
        <v>252</v>
      </c>
    </row>
    <row r="2" spans="1:5" x14ac:dyDescent="0.25">
      <c r="A2" s="6" t="s">
        <v>122</v>
      </c>
      <c r="B2" s="6" t="s">
        <v>253</v>
      </c>
      <c r="C2" s="6" t="s">
        <v>254</v>
      </c>
      <c r="D2" s="6" t="s">
        <v>255</v>
      </c>
      <c r="E2" s="6" t="s">
        <v>255</v>
      </c>
    </row>
    <row r="3" spans="1:5" x14ac:dyDescent="0.25">
      <c r="A3" s="6" t="s">
        <v>256</v>
      </c>
      <c r="B3" s="6" t="s">
        <v>257</v>
      </c>
      <c r="C3" s="6" t="s">
        <v>258</v>
      </c>
      <c r="D3" s="6" t="s">
        <v>259</v>
      </c>
      <c r="E3" s="6" t="s">
        <v>260</v>
      </c>
    </row>
    <row r="4" spans="1:5" x14ac:dyDescent="0.25">
      <c r="A4" s="6" t="s">
        <v>144</v>
      </c>
      <c r="B4" s="6" t="s">
        <v>261</v>
      </c>
      <c r="C4" s="6" t="s">
        <v>258</v>
      </c>
      <c r="D4" s="6" t="s">
        <v>262</v>
      </c>
      <c r="E4" s="6" t="s">
        <v>263</v>
      </c>
    </row>
    <row r="5" spans="1:5" x14ac:dyDescent="0.25">
      <c r="A5" s="6" t="s">
        <v>151</v>
      </c>
      <c r="B5" s="6" t="s">
        <v>264</v>
      </c>
      <c r="C5" s="6" t="s">
        <v>258</v>
      </c>
      <c r="D5" s="6" t="s">
        <v>265</v>
      </c>
      <c r="E5" s="6" t="s">
        <v>266</v>
      </c>
    </row>
    <row r="6" spans="1:5" x14ac:dyDescent="0.25">
      <c r="A6" s="6" t="s">
        <v>267</v>
      </c>
      <c r="B6" s="6" t="s">
        <v>268</v>
      </c>
      <c r="C6" s="6" t="s">
        <v>258</v>
      </c>
      <c r="D6" s="6" t="s">
        <v>259</v>
      </c>
      <c r="E6" s="6" t="s">
        <v>260</v>
      </c>
    </row>
    <row r="7" spans="1:5" x14ac:dyDescent="0.25">
      <c r="A7" s="6" t="s">
        <v>120</v>
      </c>
      <c r="B7" s="6" t="s">
        <v>269</v>
      </c>
      <c r="C7" s="6" t="s">
        <v>258</v>
      </c>
      <c r="D7" s="6" t="s">
        <v>270</v>
      </c>
      <c r="E7" s="6" t="s">
        <v>271</v>
      </c>
    </row>
    <row r="8" spans="1:5" x14ac:dyDescent="0.25">
      <c r="A8" s="6" t="s">
        <v>103</v>
      </c>
      <c r="B8" s="6" t="s">
        <v>272</v>
      </c>
      <c r="C8" s="6" t="s">
        <v>258</v>
      </c>
      <c r="D8" s="6" t="s">
        <v>265</v>
      </c>
      <c r="E8" s="6" t="s">
        <v>266</v>
      </c>
    </row>
    <row r="9" spans="1:5" x14ac:dyDescent="0.25">
      <c r="A9" s="6" t="s">
        <v>105</v>
      </c>
      <c r="B9" s="6" t="s">
        <v>273</v>
      </c>
      <c r="C9" s="6" t="s">
        <v>254</v>
      </c>
      <c r="D9" s="6" t="s">
        <v>274</v>
      </c>
      <c r="E9" s="6" t="s">
        <v>263</v>
      </c>
    </row>
    <row r="10" spans="1:5" x14ac:dyDescent="0.25">
      <c r="A10" s="6" t="s">
        <v>64</v>
      </c>
      <c r="B10" s="6" t="s">
        <v>275</v>
      </c>
      <c r="C10" s="6" t="s">
        <v>254</v>
      </c>
      <c r="D10" s="6" t="s">
        <v>259</v>
      </c>
      <c r="E10" s="6" t="s">
        <v>260</v>
      </c>
    </row>
    <row r="11" spans="1:5" x14ac:dyDescent="0.25">
      <c r="A11" s="6" t="s">
        <v>276</v>
      </c>
      <c r="B11" s="6" t="s">
        <v>277</v>
      </c>
      <c r="C11" s="6" t="s">
        <v>258</v>
      </c>
      <c r="D11" s="6" t="s">
        <v>270</v>
      </c>
      <c r="E11" s="6" t="s">
        <v>271</v>
      </c>
    </row>
    <row r="12" spans="1:5" x14ac:dyDescent="0.25">
      <c r="A12" s="6" t="s">
        <v>85</v>
      </c>
      <c r="B12" s="6" t="s">
        <v>278</v>
      </c>
      <c r="C12" s="6" t="s">
        <v>254</v>
      </c>
      <c r="D12" s="6" t="s">
        <v>279</v>
      </c>
      <c r="E12" s="6" t="s">
        <v>280</v>
      </c>
    </row>
    <row r="13" spans="1:5" x14ac:dyDescent="0.25">
      <c r="A13" s="6" t="s">
        <v>281</v>
      </c>
      <c r="B13" s="6" t="s">
        <v>253</v>
      </c>
      <c r="C13" s="6" t="s">
        <v>282</v>
      </c>
      <c r="D13" s="6" t="s">
        <v>283</v>
      </c>
      <c r="E13" s="6" t="s">
        <v>284</v>
      </c>
    </row>
    <row r="14" spans="1:5" x14ac:dyDescent="0.25">
      <c r="A14" s="6" t="s">
        <v>70</v>
      </c>
      <c r="B14" s="6" t="s">
        <v>268</v>
      </c>
      <c r="C14" s="6" t="s">
        <v>258</v>
      </c>
      <c r="D14" s="6" t="s">
        <v>259</v>
      </c>
      <c r="E14" s="6" t="s">
        <v>260</v>
      </c>
    </row>
    <row r="15" spans="1:5" x14ac:dyDescent="0.25">
      <c r="A15" s="6" t="s">
        <v>107</v>
      </c>
      <c r="B15" s="6" t="s">
        <v>273</v>
      </c>
      <c r="C15" s="6" t="s">
        <v>282</v>
      </c>
      <c r="D15" s="6" t="s">
        <v>270</v>
      </c>
      <c r="E15" s="6" t="s">
        <v>271</v>
      </c>
    </row>
    <row r="16" spans="1:5" x14ac:dyDescent="0.25">
      <c r="A16" s="6" t="s">
        <v>175</v>
      </c>
      <c r="B16" s="6" t="s">
        <v>285</v>
      </c>
      <c r="C16" s="6" t="s">
        <v>282</v>
      </c>
      <c r="D16" s="6" t="s">
        <v>283</v>
      </c>
      <c r="E16" s="6" t="s">
        <v>284</v>
      </c>
    </row>
    <row r="17" spans="1:5" x14ac:dyDescent="0.25">
      <c r="A17" s="6" t="s">
        <v>93</v>
      </c>
      <c r="B17" s="6" t="s">
        <v>286</v>
      </c>
      <c r="C17" s="6" t="s">
        <v>258</v>
      </c>
      <c r="D17" s="6" t="s">
        <v>283</v>
      </c>
      <c r="E17" s="6" t="s">
        <v>284</v>
      </c>
    </row>
    <row r="18" spans="1:5" x14ac:dyDescent="0.25">
      <c r="A18" s="6" t="s">
        <v>140</v>
      </c>
      <c r="B18" s="6" t="s">
        <v>287</v>
      </c>
      <c r="C18" s="6" t="s">
        <v>254</v>
      </c>
      <c r="D18" s="6" t="s">
        <v>262</v>
      </c>
      <c r="E18" s="6" t="s">
        <v>263</v>
      </c>
    </row>
    <row r="19" spans="1:5" x14ac:dyDescent="0.25">
      <c r="A19" s="6" t="s">
        <v>100</v>
      </c>
      <c r="B19" s="6" t="s">
        <v>288</v>
      </c>
      <c r="C19" s="6" t="s">
        <v>282</v>
      </c>
      <c r="D19" s="6" t="s">
        <v>279</v>
      </c>
      <c r="E19" s="6" t="s">
        <v>280</v>
      </c>
    </row>
    <row r="20" spans="1:5" x14ac:dyDescent="0.25">
      <c r="A20" s="6" t="s">
        <v>68</v>
      </c>
      <c r="B20" s="6" t="s">
        <v>269</v>
      </c>
      <c r="C20" s="6" t="s">
        <v>258</v>
      </c>
      <c r="D20" s="6" t="s">
        <v>259</v>
      </c>
      <c r="E20" s="6" t="s">
        <v>260</v>
      </c>
    </row>
    <row r="21" spans="1:5" x14ac:dyDescent="0.25">
      <c r="A21" s="6" t="s">
        <v>289</v>
      </c>
      <c r="B21" s="6" t="s">
        <v>290</v>
      </c>
      <c r="C21" s="6" t="s">
        <v>282</v>
      </c>
      <c r="D21" s="6" t="s">
        <v>270</v>
      </c>
      <c r="E21" s="6" t="s">
        <v>271</v>
      </c>
    </row>
    <row r="22" spans="1:5" x14ac:dyDescent="0.25">
      <c r="A22" s="6" t="s">
        <v>55</v>
      </c>
      <c r="B22" s="6" t="s">
        <v>291</v>
      </c>
      <c r="C22" s="6" t="s">
        <v>282</v>
      </c>
      <c r="D22" s="6" t="s">
        <v>262</v>
      </c>
      <c r="E22" s="6" t="s">
        <v>263</v>
      </c>
    </row>
    <row r="23" spans="1:5" x14ac:dyDescent="0.25">
      <c r="A23" s="6" t="s">
        <v>149</v>
      </c>
      <c r="B23" s="6" t="s">
        <v>286</v>
      </c>
      <c r="C23" s="6" t="s">
        <v>282</v>
      </c>
      <c r="D23" s="6" t="s">
        <v>279</v>
      </c>
      <c r="E23" s="6" t="s">
        <v>280</v>
      </c>
    </row>
    <row r="24" spans="1:5" x14ac:dyDescent="0.25">
      <c r="A24" s="6" t="s">
        <v>77</v>
      </c>
      <c r="B24" s="6" t="s">
        <v>292</v>
      </c>
      <c r="C24" s="6" t="s">
        <v>282</v>
      </c>
      <c r="D24" s="6" t="s">
        <v>262</v>
      </c>
      <c r="E24" s="6" t="s">
        <v>263</v>
      </c>
    </row>
    <row r="25" spans="1:5" x14ac:dyDescent="0.25">
      <c r="A25" s="6" t="s">
        <v>118</v>
      </c>
      <c r="B25" s="6" t="s">
        <v>293</v>
      </c>
      <c r="C25" s="6" t="s">
        <v>254</v>
      </c>
      <c r="D25" s="6" t="s">
        <v>279</v>
      </c>
      <c r="E25" s="6" t="s">
        <v>280</v>
      </c>
    </row>
    <row r="26" spans="1:5" x14ac:dyDescent="0.25">
      <c r="A26" s="6" t="s">
        <v>89</v>
      </c>
      <c r="B26" s="6" t="s">
        <v>287</v>
      </c>
      <c r="C26" s="6" t="s">
        <v>282</v>
      </c>
      <c r="D26" s="6" t="s">
        <v>279</v>
      </c>
      <c r="E26" s="6" t="s">
        <v>280</v>
      </c>
    </row>
    <row r="27" spans="1:5" x14ac:dyDescent="0.25">
      <c r="A27" s="6" t="s">
        <v>132</v>
      </c>
      <c r="B27" s="6" t="s">
        <v>291</v>
      </c>
      <c r="C27" s="6" t="s">
        <v>282</v>
      </c>
      <c r="D27" s="6" t="s">
        <v>259</v>
      </c>
      <c r="E27" s="6" t="s">
        <v>260</v>
      </c>
    </row>
    <row r="28" spans="1:5" x14ac:dyDescent="0.25">
      <c r="A28" s="6" t="s">
        <v>62</v>
      </c>
      <c r="B28" s="6" t="s">
        <v>294</v>
      </c>
      <c r="C28" s="6" t="s">
        <v>282</v>
      </c>
      <c r="D28" s="6" t="s">
        <v>259</v>
      </c>
      <c r="E28" s="6" t="s">
        <v>260</v>
      </c>
    </row>
    <row r="29" spans="1:5" x14ac:dyDescent="0.25">
      <c r="A29" s="6" t="s">
        <v>95</v>
      </c>
      <c r="B29" s="6" t="s">
        <v>295</v>
      </c>
      <c r="C29" s="6" t="s">
        <v>254</v>
      </c>
      <c r="D29" s="6" t="s">
        <v>262</v>
      </c>
      <c r="E29" s="6" t="s">
        <v>263</v>
      </c>
    </row>
    <row r="30" spans="1:5" x14ac:dyDescent="0.25">
      <c r="A30" s="6" t="s">
        <v>57</v>
      </c>
      <c r="B30" s="6" t="s">
        <v>285</v>
      </c>
      <c r="C30" s="6" t="s">
        <v>282</v>
      </c>
      <c r="D30" s="6" t="s">
        <v>279</v>
      </c>
      <c r="E30" s="6" t="s">
        <v>280</v>
      </c>
    </row>
    <row r="31" spans="1:5" x14ac:dyDescent="0.25">
      <c r="A31" s="6" t="s">
        <v>296</v>
      </c>
      <c r="B31" s="6" t="s">
        <v>287</v>
      </c>
      <c r="C31" s="6" t="s">
        <v>282</v>
      </c>
      <c r="D31" s="6" t="s">
        <v>259</v>
      </c>
      <c r="E31" s="6" t="s">
        <v>260</v>
      </c>
    </row>
    <row r="32" spans="1:5" x14ac:dyDescent="0.25">
      <c r="A32" s="6" t="s">
        <v>184</v>
      </c>
      <c r="B32" s="6" t="s">
        <v>297</v>
      </c>
      <c r="C32" s="6" t="s">
        <v>254</v>
      </c>
      <c r="D32" s="6" t="s">
        <v>259</v>
      </c>
      <c r="E32" s="6" t="s">
        <v>260</v>
      </c>
    </row>
    <row r="33" spans="1:5" x14ac:dyDescent="0.25">
      <c r="A33" s="6" t="s">
        <v>113</v>
      </c>
      <c r="B33" s="6" t="s">
        <v>298</v>
      </c>
      <c r="C33" s="6" t="s">
        <v>254</v>
      </c>
      <c r="D33" s="6" t="s">
        <v>262</v>
      </c>
      <c r="E33" s="6" t="s">
        <v>263</v>
      </c>
    </row>
    <row r="34" spans="1:5" x14ac:dyDescent="0.25">
      <c r="A34" s="6" t="s">
        <v>79</v>
      </c>
      <c r="B34" s="6" t="s">
        <v>299</v>
      </c>
      <c r="C34" s="6" t="s">
        <v>254</v>
      </c>
      <c r="D34" s="6" t="s">
        <v>283</v>
      </c>
      <c r="E34" s="6" t="s">
        <v>284</v>
      </c>
    </row>
    <row r="35" spans="1:5" x14ac:dyDescent="0.25">
      <c r="A35" s="6" t="s">
        <v>194</v>
      </c>
      <c r="B35" s="6" t="s">
        <v>300</v>
      </c>
      <c r="C35" s="6" t="s">
        <v>282</v>
      </c>
      <c r="D35" s="6" t="s">
        <v>283</v>
      </c>
      <c r="E35" s="6" t="s">
        <v>284</v>
      </c>
    </row>
    <row r="36" spans="1:5" x14ac:dyDescent="0.25">
      <c r="A36" s="6" t="s">
        <v>147</v>
      </c>
      <c r="B36" s="6" t="s">
        <v>301</v>
      </c>
      <c r="C36" s="6" t="s">
        <v>254</v>
      </c>
      <c r="D36" s="6" t="s">
        <v>279</v>
      </c>
      <c r="E36" s="6" t="s">
        <v>280</v>
      </c>
    </row>
    <row r="37" spans="1:5" x14ac:dyDescent="0.25">
      <c r="A37" s="6" t="s">
        <v>187</v>
      </c>
      <c r="B37" s="6" t="s">
        <v>261</v>
      </c>
      <c r="C37" s="6" t="s">
        <v>254</v>
      </c>
      <c r="D37" s="6" t="s">
        <v>270</v>
      </c>
      <c r="E37" s="6" t="s">
        <v>271</v>
      </c>
    </row>
    <row r="38" spans="1:5" x14ac:dyDescent="0.25">
      <c r="A38" s="6" t="s">
        <v>109</v>
      </c>
      <c r="B38" s="6" t="s">
        <v>257</v>
      </c>
      <c r="C38" s="6" t="s">
        <v>282</v>
      </c>
      <c r="D38" s="6" t="s">
        <v>279</v>
      </c>
      <c r="E38" s="6" t="s">
        <v>280</v>
      </c>
    </row>
    <row r="39" spans="1:5" x14ac:dyDescent="0.25">
      <c r="A39" s="6" t="s">
        <v>302</v>
      </c>
      <c r="B39" s="6" t="s">
        <v>303</v>
      </c>
      <c r="C39" s="6" t="s">
        <v>254</v>
      </c>
      <c r="D39" s="6" t="s">
        <v>262</v>
      </c>
      <c r="E39" s="6" t="s">
        <v>263</v>
      </c>
    </row>
    <row r="40" spans="1:5" x14ac:dyDescent="0.25">
      <c r="A40" s="6" t="s">
        <v>128</v>
      </c>
      <c r="B40" s="6" t="s">
        <v>304</v>
      </c>
      <c r="C40" s="6" t="s">
        <v>282</v>
      </c>
      <c r="D40" s="6" t="s">
        <v>262</v>
      </c>
      <c r="E40" s="6" t="s">
        <v>263</v>
      </c>
    </row>
    <row r="41" spans="1:5" x14ac:dyDescent="0.25">
      <c r="A41" s="6" t="s">
        <v>97</v>
      </c>
      <c r="B41" s="6" t="s">
        <v>305</v>
      </c>
      <c r="C41" s="6" t="s">
        <v>258</v>
      </c>
      <c r="D41" s="6" t="s">
        <v>262</v>
      </c>
      <c r="E41" s="6" t="s">
        <v>263</v>
      </c>
    </row>
    <row r="42" spans="1:5" x14ac:dyDescent="0.25">
      <c r="A42" s="6" t="s">
        <v>87</v>
      </c>
      <c r="B42" s="6" t="s">
        <v>306</v>
      </c>
      <c r="C42" s="6" t="s">
        <v>254</v>
      </c>
      <c r="D42" s="6" t="s">
        <v>262</v>
      </c>
      <c r="E42" s="6" t="s">
        <v>263</v>
      </c>
    </row>
    <row r="43" spans="1:5" x14ac:dyDescent="0.25">
      <c r="A43" s="6" t="s">
        <v>66</v>
      </c>
      <c r="B43" s="6" t="s">
        <v>264</v>
      </c>
      <c r="C43" s="6" t="s">
        <v>258</v>
      </c>
      <c r="D43" s="6" t="s">
        <v>262</v>
      </c>
      <c r="E43" s="6" t="s">
        <v>263</v>
      </c>
    </row>
    <row r="44" spans="1:5" x14ac:dyDescent="0.25">
      <c r="A44" s="6" t="s">
        <v>179</v>
      </c>
      <c r="B44" s="6" t="s">
        <v>307</v>
      </c>
      <c r="C44" s="6" t="s">
        <v>282</v>
      </c>
      <c r="D44" s="6" t="s">
        <v>259</v>
      </c>
      <c r="E44" s="6" t="s">
        <v>260</v>
      </c>
    </row>
    <row r="45" spans="1:5" x14ac:dyDescent="0.25">
      <c r="A45" s="6" t="s">
        <v>60</v>
      </c>
      <c r="B45" s="6" t="s">
        <v>308</v>
      </c>
      <c r="C45" s="6" t="s">
        <v>254</v>
      </c>
      <c r="D45" s="6" t="s">
        <v>283</v>
      </c>
      <c r="E45" s="6" t="s">
        <v>284</v>
      </c>
    </row>
    <row r="46" spans="1:5" x14ac:dyDescent="0.25">
      <c r="A46" s="6" t="s">
        <v>75</v>
      </c>
      <c r="B46" s="6" t="s">
        <v>257</v>
      </c>
      <c r="C46" s="6" t="s">
        <v>282</v>
      </c>
      <c r="D46" s="6" t="s">
        <v>262</v>
      </c>
      <c r="E46" s="6" t="s">
        <v>263</v>
      </c>
    </row>
    <row r="47" spans="1:5" x14ac:dyDescent="0.25">
      <c r="A47" s="6" t="s">
        <v>73</v>
      </c>
      <c r="B47" s="6" t="s">
        <v>257</v>
      </c>
      <c r="C47" s="6" t="s">
        <v>258</v>
      </c>
      <c r="D47" s="6" t="s">
        <v>270</v>
      </c>
      <c r="E47" s="6" t="s">
        <v>271</v>
      </c>
    </row>
    <row r="48" spans="1:5" x14ac:dyDescent="0.25">
      <c r="A48" s="6" t="s">
        <v>82</v>
      </c>
      <c r="B48" s="6" t="s">
        <v>293</v>
      </c>
      <c r="C48" s="6" t="s">
        <v>282</v>
      </c>
      <c r="D48" s="6" t="s">
        <v>270</v>
      </c>
      <c r="E48" s="6" t="s">
        <v>271</v>
      </c>
    </row>
    <row r="49" spans="1:5" x14ac:dyDescent="0.25">
      <c r="A49" s="6" t="s">
        <v>153</v>
      </c>
      <c r="B49" s="6" t="s">
        <v>264</v>
      </c>
      <c r="C49" s="6" t="s">
        <v>254</v>
      </c>
      <c r="D49" s="6" t="s">
        <v>270</v>
      </c>
      <c r="E49" s="6" t="s">
        <v>271</v>
      </c>
    </row>
    <row r="50" spans="1:5" x14ac:dyDescent="0.25">
      <c r="A50" s="6" t="s">
        <v>309</v>
      </c>
      <c r="B50" s="6" t="s">
        <v>310</v>
      </c>
      <c r="C50" s="6" t="s">
        <v>254</v>
      </c>
      <c r="D50" s="6" t="s">
        <v>270</v>
      </c>
      <c r="E50" s="6"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pvt tables &amp; KPIs</vt:lpstr>
      <vt:lpstr>Dashboard</vt:lpstr>
      <vt:lpstr>5.2</vt:lpstr>
      <vt:lpstr>Sheet3</vt:lpstr>
      <vt:lpstr>Sheet7</vt:lpstr>
      <vt:lpstr>Orders</vt:lpstr>
      <vt:lpstr>Product Master</vt:lpstr>
      <vt:lpstr>Region Master</vt:lpstr>
      <vt:lpstr>Customer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Kamini Dhyani</cp:lastModifiedBy>
  <dcterms:created xsi:type="dcterms:W3CDTF">2015-06-05T18:17:20Z</dcterms:created>
  <dcterms:modified xsi:type="dcterms:W3CDTF">2026-06-04T07:14:48Z</dcterms:modified>
</cp:coreProperties>
</file>